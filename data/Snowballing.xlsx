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imary Studies" sheetId="1" r:id="rId4"/>
    <sheet state="visible" name="Forward Snowballing" sheetId="2" r:id="rId5"/>
    <sheet state="visible" name="Backwards Snowballing" sheetId="3" r:id="rId6"/>
  </sheets>
  <definedNames>
    <definedName hidden="1" localSheetId="1" name="_xlnm._FilterDatabase">'Forward Snowballing'!$A$2:$R$296</definedName>
    <definedName hidden="1" localSheetId="2" name="_xlnm._FilterDatabase">'Backwards Snowballing'!$A$2:$R$437</definedName>
  </definedNames>
  <calcPr/>
</workbook>
</file>

<file path=xl/sharedStrings.xml><?xml version="1.0" encoding="utf-8"?>
<sst xmlns="http://schemas.openxmlformats.org/spreadsheetml/2006/main" count="3774" uniqueCount="2240">
  <si>
    <t>ID</t>
  </si>
  <si>
    <t>First Submission</t>
  </si>
  <si>
    <t>Note</t>
  </si>
  <si>
    <t>Snowball Notes</t>
  </si>
  <si>
    <t>Updated Forward up to 20/09/24</t>
  </si>
  <si>
    <t>Dynamic distribution of robot control components under hard realtime constraints - Modeling; experimental results and practical considerations.</t>
  </si>
  <si>
    <t>Franz Dietrich &amp; Jochen Maaß &amp; Matthias Hagner &amp; Jens Steiner &amp; Ursula Goltz &amp; Annika Raatz</t>
  </si>
  <si>
    <t>journals/jsa/DietrichMHSGR13</t>
  </si>
  <si>
    <t>https://doi.org/10.1016/j.sysarc.2012.12.001</t>
  </si>
  <si>
    <t>Software_Architecture</t>
  </si>
  <si>
    <t>special case between software and hardware</t>
  </si>
  <si>
    <t>x</t>
  </si>
  <si>
    <t>Architectural Homeostasis in Self-Adaptive Software-Intensive Cyber-Physical Systems.</t>
  </si>
  <si>
    <t>Ilias Gerostathopoulos &amp; Dominik Skoda &amp; Frantisek Plásil &amp; Tomás Bures &amp; Alessia Knauss</t>
  </si>
  <si>
    <t>conf/ecsa/Gerostathopoulos16</t>
  </si>
  <si>
    <t>https://doi.org/10.1007/978-3-319-48992-6_8</t>
  </si>
  <si>
    <t>Towards adaptive semantic subscriptions for stream reasoning in the robot operating system.</t>
  </si>
  <si>
    <t>Daniel de Leng &amp; Fredrik Heintz</t>
  </si>
  <si>
    <t>conf/iros/LengH17</t>
  </si>
  <si>
    <t>https://doi.org/10.1109/IROS.2017.8206440</t>
  </si>
  <si>
    <t>Robotics</t>
  </si>
  <si>
    <t>ReFrESH: A self-adaptation framework to support fault tolerance in field mobile robots.</t>
  </si>
  <si>
    <t>Yanzhe Cui &amp; Richard M. Voyles &amp; Joshua T. Lane &amp; Mohammad H. Mahoor</t>
  </si>
  <si>
    <t>conf/iros/CuiVLM14</t>
  </si>
  <si>
    <t>https://doi.org/10.1109/IROS.2014.6942765</t>
  </si>
  <si>
    <t>Software architecture and task plan co-adaptation for mobile service robots.</t>
  </si>
  <si>
    <t>Javier Cámara &amp; Bradley R. Schmerl &amp; David Garlan</t>
  </si>
  <si>
    <t>conf/icse/CamaraSG20</t>
  </si>
  <si>
    <t>https://doi.org/10.1145/3387939.3391591</t>
  </si>
  <si>
    <t>Self-Adaptive_Systems</t>
  </si>
  <si>
    <t>MAUVE Runtime: A Component-Based Middleware to Reconfigure Software Architectures in Real-Time.</t>
  </si>
  <si>
    <t>David Doose &amp; Christophe Grand &amp; Charles Lesire</t>
  </si>
  <si>
    <t>conf/irc/DooseGL17</t>
  </si>
  <si>
    <t>https://doi.org/10.1109/IRC.2017.47</t>
  </si>
  <si>
    <t>Adaptive Run-Time Models for Groups of Autonomous Robots.</t>
  </si>
  <si>
    <t>Stefan Niemczyk &amp; Kurt Geihs</t>
  </si>
  <si>
    <t>conf/icse/NiemczykG15</t>
  </si>
  <si>
    <t>https://doi.org/10.1109/SEAMS.2015.21</t>
  </si>
  <si>
    <t>An integrated model-based diagnosis and repair architecture for ROS-based robot systems.</t>
  </si>
  <si>
    <t>Safdar Zaman &amp; Gerald Steinbauer &amp; Johannes Maurer &amp; Peter Lepej &amp; Suzana Uran</t>
  </si>
  <si>
    <t>conf/icra/ZamanSMLU13</t>
  </si>
  <si>
    <t>https://doi.org/10.1109/ICRA.2013.6630618</t>
  </si>
  <si>
    <t>Localization Uncertainty-driven Adaptive Framework for Controlling Ground Vehicle Robots.</t>
  </si>
  <si>
    <t>Daniel Kent &amp; Philip K. McKinley &amp; Hayder Radha</t>
  </si>
  <si>
    <t>conf/iros/KentMR20</t>
  </si>
  <si>
    <t>https://doi.org/10.1109/IROS45743.2020.9341427</t>
  </si>
  <si>
    <t>RRA: Models and tools for robotics run-time adaptation.</t>
  </si>
  <si>
    <t>Luca Gherardi &amp; Nico Hochgeschwender</t>
  </si>
  <si>
    <t>conf/iros/GherardiH15</t>
  </si>
  <si>
    <t>https://doi.org/10.1109/IROS.2015.7353608</t>
  </si>
  <si>
    <t>How to secure autonomous mobile robots? An approach with fuzzing; detection and mitigation.</t>
  </si>
  <si>
    <t>Chundong Wang 0001 &amp; Yee Ching Tok &amp; Rohini Poolat &amp; Sudipta Chattopadhyay 0001 &amp; Mohan Rajesh Elara</t>
  </si>
  <si>
    <t>journals/jsa/WangTPCE21</t>
  </si>
  <si>
    <t>https://doi.org/10.1016/j.sysarc.2020.101838</t>
  </si>
  <si>
    <t>Real-time software module design framework for building self-adaptive robotic systems.</t>
  </si>
  <si>
    <t>Yanzhe Cui &amp; Joshua T. Lane &amp; Richard M. Voyles</t>
  </si>
  <si>
    <t>conf/iros/CuiLV15</t>
  </si>
  <si>
    <t>https://doi.org/10.1109/IROS.2015.7353731</t>
  </si>
  <si>
    <t>RealCaPP: Real-Time Capable Plug &amp; Produce Service Architecture for Distributed Robot Control.</t>
  </si>
  <si>
    <t>Christian EymÃ¼ller &amp; Julian Hanke &amp; Alexander Poeppel &amp; Constantin Wanninger &amp; Wolfgang Reif</t>
  </si>
  <si>
    <t>conf/irc/EymullerHPWR23</t>
  </si>
  <si>
    <t>https://doi.org/10.1109/IRC59093.2023.00063</t>
  </si>
  <si>
    <t>not cited anywhere right now</t>
  </si>
  <si>
    <t>Revision 2</t>
  </si>
  <si>
    <t>Towards modeling reconfiguration in hierarchical component architectures.</t>
  </si>
  <si>
    <t>Christian Heinzemann &amp; Claudia Priesterjahn &amp; Steffen Becker 0001</t>
  </si>
  <si>
    <t>conf/cbse/HeinzemannPB12</t>
  </si>
  <si>
    <t>https://doi.org/10.1145/2304736.2304742</t>
  </si>
  <si>
    <t>Proactive Self-Adaptation for Improving the Reliability of Mission-Critical, Embedded, and Mobile Software.</t>
  </si>
  <si>
    <t>Deshan Cooray &amp; Ehsan Kouroshfar &amp; Sam Malek &amp; Roshanak Roshandel</t>
  </si>
  <si>
    <t>journals/tse/CoorayKMR13</t>
  </si>
  <si>
    <t>https://doi.org/10.1109/TSE.2013.36</t>
  </si>
  <si>
    <t>Software_Engineering</t>
  </si>
  <si>
    <t>Runtime reconfiguration of robot control systems: a ROS-based case study.</t>
  </si>
  <si>
    <t>Davide Brugali</t>
  </si>
  <si>
    <t>conf/irc/Brugali20</t>
  </si>
  <si>
    <t>https://doi.org/10.1109/IRC.2020.00047</t>
  </si>
  <si>
    <t>Achieving resilience in distributed software systems via self-reconfiguration.</t>
  </si>
  <si>
    <t>Subhav Pradhan &amp; Abhishek Dubey &amp; Tihamer Levendovszky &amp; Pranav Srinivas Kumar &amp; William Emfinger &amp; Daniel Balasubramanian &amp; William Otte &amp; Gabor Karsai</t>
  </si>
  <si>
    <t>journals/jss/PradhanDLKEBOK16</t>
  </si>
  <si>
    <t>https://doi.org/10.1016/j.jss.2016.05.038</t>
  </si>
  <si>
    <t>Forward Snowballing (first iteration)</t>
  </si>
  <si>
    <t>Tuning self-adaptation in cyber-physical systems through architectural homeostasis</t>
  </si>
  <si>
    <t>Ilias Gerostathopoulos, Dominik Skoda, Frantisek Plasil, Tomas Bures, Alessia Knauss</t>
  </si>
  <si>
    <t>https://doi.org/10.1016/j.jss.2018.10.051</t>
  </si>
  <si>
    <t>this is a journal extension to primary paper 5</t>
  </si>
  <si>
    <t>also backward of 9</t>
  </si>
  <si>
    <t>A mechanism for real-time decision making and system maintenance for resource constrained robotic systems through ReFrESH</t>
  </si>
  <si>
    <t xml:space="preserve">Cui, Y., Voyles, R.M., Lane, J.T. et al. </t>
  </si>
  <si>
    <t>https://doi.org/10.1007/s10514-015-9472-x</t>
  </si>
  <si>
    <t>folow-up to primary 8</t>
  </si>
  <si>
    <t>A Modeling Tool for Reconfigurable Skills in ROS</t>
  </si>
  <si>
    <t>D. Bozhinoski, E. Aguado, M. G. Oviedo, C. Hernandez, R. Sanz and A. Wąsowski</t>
  </si>
  <si>
    <t>https://doi.org/10.1109/RoSE52553.2021.00011</t>
  </si>
  <si>
    <t>MROS for sure, but this paper is a bit short.</t>
  </si>
  <si>
    <t>ICE: self-configuration of information processing in heterogeneous agent teams</t>
  </si>
  <si>
    <t>Niemczyk, Stefan and Opfer, Stephan and Fredivianus, Nugroho and Geihs, Kurt</t>
  </si>
  <si>
    <t>https://doi.org/10.1145/3019612.3019653</t>
  </si>
  <si>
    <t>follow-up to primary 11</t>
  </si>
  <si>
    <t>Effective Crash Recovery of Robot Software Programs in ROS</t>
  </si>
  <si>
    <t xml:space="preserve">Y. -H. Zou and J. -J. Bai, </t>
  </si>
  <si>
    <t>doi.org/10.1109/ICRA48506.2021.9560876</t>
  </si>
  <si>
    <t>for me they have a adaptation manager in the BG which adapts (restarts) a node with some gathered Knowledge when it Analyzes it to have crashed :)</t>
  </si>
  <si>
    <t>Fault Detection Using Sensors Data Trends for Autonomous Robotic Mapping,</t>
  </si>
  <si>
    <t xml:space="preserve">S. Zaman, F. Ahmad, M. Qasim Khan, S. Ali Shah, A. Jabeen and N. Aftab, </t>
  </si>
  <si>
    <t>doi.org/10.1109/CEET1.2019.8711846</t>
  </si>
  <si>
    <t>its another follow-up, but I'm less sure</t>
  </si>
  <si>
    <t>A Model-Based Fault Detection, Diagnosis and Repair for Autonomous Robotics systems</t>
  </si>
  <si>
    <t>Stefan Loigge, Clemens Mühlbacher, Gerald Steinbauer, Stephan Gspandl, Michael Reip</t>
  </si>
  <si>
    <t>https://www.joanneum.at/fileadmin/ROBOTICS/ARW_Proceedings/2017_ARW-Proceedings.pdf</t>
  </si>
  <si>
    <t>I think it works, it presents an alternative approach to do the same as in primary 12</t>
  </si>
  <si>
    <t>Model-Based Development of QoS-Aware Reconfigurable Autonomous Robotic Systems</t>
  </si>
  <si>
    <t>D. Brugali, R. Capilla, R. Mirandola and C. Trubiani</t>
  </si>
  <si>
    <t>https://doi.org/10.1109/IRC.2018.00027</t>
  </si>
  <si>
    <t>Graph-based software knowledge: Storage and semantic querying of domain models for run-time adaptation</t>
  </si>
  <si>
    <t>N. Hochgeschwender, S. Schneider, H. Voos, H. Bruyninckx and G. K. Kraetzschmar</t>
  </si>
  <si>
    <t>https://doi.org/10.1109/SIMPAR.2016.7862379</t>
  </si>
  <si>
    <t>despite one author overlap I don't think it is a direct follow-up</t>
  </si>
  <si>
    <t>Context-based navigation for ground mobile robot in semi-structured indoor environment</t>
  </si>
  <si>
    <t>Darko Bozhinoski; Jasper Wijkhuizen</t>
  </si>
  <si>
    <t>https://doi.org/10.1109/IRC52146.2021.00019</t>
  </si>
  <si>
    <t>Context-Based Adaptation of In-Hand Slip Detection for Service Robots</t>
  </si>
  <si>
    <t xml:space="preserve">Jose Sanchez *, Sven Schneider *, Nico Hochgeschwender *, Gerhard K. Kraetzschmar *, Paul G. Plöger </t>
  </si>
  <si>
    <t>https://doi.org/10.1016/j.ifacol.2016.07.765</t>
  </si>
  <si>
    <t>SUAVE: An Exemplar for Self-Adaptive Underwater Vehicles</t>
  </si>
  <si>
    <t>Gustavo Rezende Silva, Juliane Päßler, Jeroen Zwanepol, Elvin Alberts, S. Lizeth Tapia Tarifa, Ilias Gerostathopoulos, Einar Broch Johnsen, Carlos Hernández Corbato</t>
  </si>
  <si>
    <t>https://doi.org/10.1109/SEAMS59076.2023.00031</t>
  </si>
  <si>
    <t>shares three authors with this study, in the same vein as 20,28 but an original contribution</t>
  </si>
  <si>
    <t>RuVa: A Runtime Software Variability Algorithm</t>
  </si>
  <si>
    <t>A. Valdezate, R. Capilla, J. Crespo and R. Barber</t>
  </si>
  <si>
    <t>https://doi.org/10.1109/ACCESS.2022.3175505</t>
  </si>
  <si>
    <t>Modeling variability in self-adapting robotic systems</t>
  </si>
  <si>
    <t>D. Brugali</t>
  </si>
  <si>
    <t>https://doi.org/10.1016/j.robot.2023.104470</t>
  </si>
  <si>
    <t>Resilient architecture framework for robotic systems</t>
  </si>
  <si>
    <t>A. D. Hristozov, E. T. Matson, J. C. Gallagher, M. Rogers and E. Dietz</t>
  </si>
  <si>
    <t>https://doi.org/10.1109/ICAI55857.2022.9960094</t>
  </si>
  <si>
    <t>Backward Snowballing (first iteration)</t>
  </si>
  <si>
    <t>Taming uncertainty in self-adaptive software</t>
  </si>
  <si>
    <t>Esfahani, S., N., Kouroshfar, E., Malek</t>
  </si>
  <si>
    <t>https://doi.org/10.1145/2025113.2025147</t>
  </si>
  <si>
    <t>am quite certain</t>
  </si>
  <si>
    <t>Dyknow: A dynamically reconfigurable stream reasoning framework as an extension to the robot operating system</t>
  </si>
  <si>
    <t>de Leng, F., D., Heintz</t>
  </si>
  <si>
    <t>https://doi.org/10.1109/simpar.2016.7862375</t>
  </si>
  <si>
    <t>prev work for primary 7</t>
  </si>
  <si>
    <t>A self-adaptation framework for resource constrained miniature search and rescue robots</t>
  </si>
  <si>
    <t>Cui, 2012, Y., Voyles, R., He, M., Jiang, G., Mahoor, M., Nov</t>
  </si>
  <si>
    <t>https://doi.org/10.1109/ssrr.2012.6523874</t>
  </si>
  <si>
    <t>8,16</t>
  </si>
  <si>
    <t>prev. work from primary 8 and 16</t>
  </si>
  <si>
    <t>Machine learning meets quantitative planning: Enabling self-adaptation in autonomous robots</t>
  </si>
  <si>
    <t>Jamshidi, D., P., Cßmara, J., Schmerl, B., KΣstner, C., Garlan</t>
  </si>
  <si>
    <t>https://doi.org/10.1109/seams.2019.00015</t>
  </si>
  <si>
    <t xml:space="preserve">prev. work for the primary </t>
  </si>
  <si>
    <t>A task-based and resource-aware approach to dynamically generate optimal software architecture for intelligent service robots</t>
  </si>
  <si>
    <t>Park, H.-M., Y.-S., Koo</t>
  </si>
  <si>
    <t>https://doi.org/10.1002/spe.1074</t>
  </si>
  <si>
    <t>looks good</t>
  </si>
  <si>
    <t>Managing run-time variability in robotics software by modeling functional and non-functional behavior</t>
  </si>
  <si>
    <t>Lotz, C., A., Ingle, J. F., Schlegel</t>
  </si>
  <si>
    <t>https://doi.org/10.1007/978-3-642-38484-4_31</t>
  </si>
  <si>
    <t>especially section 5 is convincing.</t>
  </si>
  <si>
    <t>First Iteration</t>
  </si>
  <si>
    <t>Original Primary ID</t>
  </si>
  <si>
    <t>title</t>
  </si>
  <si>
    <t>year</t>
  </si>
  <si>
    <t>authors</t>
  </si>
  <si>
    <t>ee</t>
  </si>
  <si>
    <t>I1 - Robots</t>
  </si>
  <si>
    <t>I2 - SA</t>
  </si>
  <si>
    <t>I3 - Self-adaptation</t>
  </si>
  <si>
    <t>I4 - Peer-reviewed</t>
  </si>
  <si>
    <t>I5 - After 2011 Before 2024/06/02</t>
  </si>
  <si>
    <t>E1 - Adapt not SA</t>
  </si>
  <si>
    <t>E2 - English</t>
  </si>
  <si>
    <t>E3 - Not available</t>
  </si>
  <si>
    <t>E4 - Secondary studies</t>
  </si>
  <si>
    <t>Already discovered prev.</t>
  </si>
  <si>
    <t>Thesis</t>
  </si>
  <si>
    <t>Included</t>
  </si>
  <si>
    <t>Notes</t>
  </si>
  <si>
    <t>Interlocking Safety Cases for Unmanned Autonomous Systems in Shared Airspaces</t>
  </si>
  <si>
    <t>Vierhauser, Michael and Bayley, Sean and Wyngaard, Jane and Xiong, Wandi and Cheng, Jinghui and Huseman, Joshua and Lutz, Robyn and Cleland-Huang, Jane</t>
  </si>
  <si>
    <t>https://doi.org/10.1109/TSE.2019.2907595</t>
  </si>
  <si>
    <t>No</t>
  </si>
  <si>
    <t>Cyber-security for Mobile Service Robots – Challenges for Cyber-physical System Safety</t>
  </si>
  <si>
    <t>Dudek, Wojciech and Szynkiewicz, Wojciech</t>
  </si>
  <si>
    <t>http://dx.doi.org/10.26636/jtit.2019.131019</t>
  </si>
  <si>
    <t>Cyberbezpieczeństwo robotów-nowe wyzwania dla zabezpieczeń systemów cyber-fizycznych</t>
  </si>
  <si>
    <t xml:space="preserve"> DESCRIÇÃO GEOMÉTRICA, CINEMÁTICA E DE ESFORÇOS PARA TAREFAS DE MANIPULAÇÃO USANDO QUATÉRNIOS DUAIS</t>
  </si>
  <si>
    <t>Applying Machine Learning in Self-adaptive Systems: A Systematic Literature Review</t>
  </si>
  <si>
    <t>Gheibi, Omid and Weyns, Danny and Quin, Federico</t>
  </si>
  <si>
    <t>https://doi.org/10.1145/3469440</t>
  </si>
  <si>
    <t>Controlled experimentation in continuous experimentation: Knowledge and challenges</t>
  </si>
  <si>
    <t>Florian Auer, Rasmus Ros, Lukas Kaltenbrunner, Per Runeson, Michael Felderer</t>
  </si>
  <si>
    <t>https://doi.org/10.1016/j.infsof.2021.106551</t>
  </si>
  <si>
    <t>Cyber-physical system homeostatic security management</t>
  </si>
  <si>
    <t xml:space="preserve">Zegzhda, D.P., Pavlenko, E.Y. </t>
  </si>
  <si>
    <t>https://doi.org/10.3103/S0146411617080260</t>
  </si>
  <si>
    <t>Systematization and security assessment of cyber-physical systems</t>
  </si>
  <si>
    <t xml:space="preserve">Zegzhda, D.P., Poltavtseva, M.A. &amp; Lavrova, D.S. </t>
  </si>
  <si>
    <t>https://doi.org/10.3103/S0146411617080272</t>
  </si>
  <si>
    <t>An Open-Source Wireless Sensor Node Platform with Active Node-Level Reliability for Monitoring Applications</t>
  </si>
  <si>
    <t xml:space="preserve">Widhalm, D.; Goeschka, K.M.; Kastner, W. </t>
  </si>
  <si>
    <t>https://doi.org/10.3390/s21227613</t>
  </si>
  <si>
    <t>Cyber-sustainability of Software-Defined Networks Based on Situational Management</t>
  </si>
  <si>
    <t>Zegzhda, D.P., Pavlenko, E.Y.</t>
  </si>
  <si>
    <t>https://doi.org/10.3103/S0146411618080291</t>
  </si>
  <si>
    <t>5, 41</t>
  </si>
  <si>
    <t>Yes</t>
  </si>
  <si>
    <t>Bio-inspired Approach to Self-Regulation for Industrial Dynamic Network Infrastructure</t>
  </si>
  <si>
    <t>Daria Lavrova. Elizaveta Zaitceva. Petr Zegzhda</t>
  </si>
  <si>
    <t>https://ceur-ws.org/Vol-2603/short8.pdf</t>
  </si>
  <si>
    <t>Criterion Of Cyber-Physical Systems Sustainability</t>
  </si>
  <si>
    <t>Evgeny Pavlenko, Dmitry Zegzhda, Anna Shtyrkina</t>
  </si>
  <si>
    <t>https://ceur-ws.org/Vol-2603/short13.pdf</t>
  </si>
  <si>
    <t>SACRE: Supporting contextual requirements’ adaptation in modern self-adaptive systems in the presence of uncertainty at runtime</t>
  </si>
  <si>
    <t>Edith Zavala, Xavier Franch, Jordi Marco, Alessia Knauss, Daniela Damian</t>
  </si>
  <si>
    <t>https://doi.org/10.1016/j.eswa.2018.01.009</t>
  </si>
  <si>
    <t>Management of a Dynamic Infrastructure of Complex Systems Under Conditions of Directed Cyber Attacks</t>
  </si>
  <si>
    <t>Zegzhda, D.P., Lavrova, D.S. &amp; Pavlenko, E.Y.</t>
  </si>
  <si>
    <t>https://doi.org/10.1134/S1064230720020124</t>
  </si>
  <si>
    <t>СИСТЕМАТИЗАЦИЯ КИБЕРФИЗИЧЕСКИХ СИСТЕМИ ОЦЕНКА ИЗ БЕЗОПАСНОСТИ</t>
  </si>
  <si>
    <t>ZEGZHDA P.D. 1 , Poltavtseva M.A. 1 , LAVROV D.S. 1</t>
  </si>
  <si>
    <t>https://www.elibrary.ru/ytyofd</t>
  </si>
  <si>
    <t>Application of the Learning Automaton Model for Ensuring Cyber Resiliency</t>
  </si>
  <si>
    <t>Kalinin, M.; Ovasapyan, T.; Poltavtseva, M.</t>
  </si>
  <si>
    <t>https://doi.org/10.3390/sym14102208</t>
  </si>
  <si>
    <t>Strengthening Adaptation in Cyber-Physical Systems via Meta-Adaptation Strategies</t>
  </si>
  <si>
    <t>Gerostathopoulos, Ilias and Bures, Tomas and Hnetynka, Petr and Hujecek, Adam and Plasil, Frantisek and Skoda, Dominik</t>
  </si>
  <si>
    <t>https://doi.org/10.1145/2823345</t>
  </si>
  <si>
    <t>Ensuring the sustainability of cyberphysical systems based on dynamic reconfiguration</t>
  </si>
  <si>
    <t>E. Pavlenko, D. Zegzhda and M. Poltavtseva</t>
  </si>
  <si>
    <t>https://doi.org/10.1109/ICPHYS.2019.8780193</t>
  </si>
  <si>
    <t>Estimating the sustainability of cyber-physical systems based on spectral graph theory</t>
  </si>
  <si>
    <t>P. Evgeny, Z. Dmitry and S. Anna</t>
  </si>
  <si>
    <t>https://doi.org/10.1109/BlackSeaCom.2019.8812826</t>
  </si>
  <si>
    <t>Uncertainty-wise Software Engineering of Complex Systems: A Systematic Mapping Study</t>
  </si>
  <si>
    <t>TAN Chao; ZHANG Jing-Xuan; WANG Tie-Xin; YUE Tao</t>
  </si>
  <si>
    <t>http://www.jos.org.cn/josen/article/abstract/6267</t>
  </si>
  <si>
    <t>duplicate on google scholar</t>
  </si>
  <si>
    <t>Approaches to Modeling the Security of Cyberphysical Systems</t>
  </si>
  <si>
    <t>Zegzhda, D.P., Vasil’ev, Y.S. &amp; Poltavtseva, M.A.</t>
  </si>
  <si>
    <t>https://doi.org/10.3103/S014641161808031X</t>
  </si>
  <si>
    <t>ГОМЕОСТАТИЧЕСКАЯ СТРАТЕГИЯ БЕЗОПАСНОСТИ КИБЕРФИЗИЧЕСКИХ СИСТЕМ</t>
  </si>
  <si>
    <t>ZEGZHDA D.P. 1 , PAVLENKO E.Yu. 1</t>
  </si>
  <si>
    <t>https://www.elibrary.ru/yllueq</t>
  </si>
  <si>
    <t>УПРАВЛЕНИЕ ДИНАМИЧЕСКОЙ ИНФРАСТРУКТУРОЙ СЛОЖНЫХ СИСТЕМ В УСЛОВИЯХ ЦЕЛЕНАПРАВЛЕННЫХ КИБЕРАТАК</t>
  </si>
  <si>
    <t xml:space="preserve">ZEGZHDA D.P. 1 , LAVROV D.S. * 1 , PAVLENKO E.Yu. </t>
  </si>
  <si>
    <t>https://www.elibrary.ru/gjzdhc</t>
  </si>
  <si>
    <t>Self-Adaptive Data Processing to Improve SLOs for Dynamic IoT Workloads</t>
  </si>
  <si>
    <t>Chindanonda, P.; Podolskiy, V.; Gerndt, M.</t>
  </si>
  <si>
    <t>https://doi.org/10.3390/computers9010012</t>
  </si>
  <si>
    <t>Cybersecurity and Control Sustainability in Digital Economy and Advanced Production</t>
  </si>
  <si>
    <t>Zegzhda, D.P., Pavlenko, E., Shtyrkina, A.</t>
  </si>
  <si>
    <t>https://doi.org/10.1007/978-3-030-59959-1_11</t>
  </si>
  <si>
    <t>Mathematical Methods for Implementing Homeostatic Control in Digital Production Systems</t>
  </si>
  <si>
    <t xml:space="preserve">Pavlenko, E., Poltavtseva, M. </t>
  </si>
  <si>
    <t>https://doi.org/10.1007/978-3-030-64430-7_1</t>
  </si>
  <si>
    <t>ОБЕСПЕЧЕНИЕ УСТОЙЧИВОСТИ ФУНКЦИОНИРОВАНИЯ КИБЕРФИЗИЧЕСКИХ СИСТЕМ НА ОСНОВЕ ДИНАМИЧЕСКОГО ПЕРЕКОНФИГУРИРОВАНИЯ</t>
  </si>
  <si>
    <t>https://www.elibrary.ru/uilzpw</t>
  </si>
  <si>
    <t>ОБЕСПЕЧЕНИЕ КИБЕРУСТОЙЧИВОСТИ ПРОГРАММНО-КОНФИГУРИРУЕМЫХ СЕТЕЙ НА ОСНОВЕ СИТУАЦИОННОГО УПРАВЛЕНИЯ</t>
  </si>
  <si>
    <t>https://www.elibrary.ru/otviqv</t>
  </si>
  <si>
    <t>Learning Approach for Smart Self-Adaptive Cyber-Physical Systems</t>
  </si>
  <si>
    <t xml:space="preserve">A. Petrovska and A. Pretschner, </t>
  </si>
  <si>
    <t>https://doi.org/10.1109/FAS-W.2019.00061</t>
  </si>
  <si>
    <t>doctoral symp. only for snowballing</t>
  </si>
  <si>
    <t>Towards automated safety analysis for architectures of dynamically forming networks of cyber-physical systems</t>
  </si>
  <si>
    <t>Brings, Jennifer and Daun, Marian</t>
  </si>
  <si>
    <t>https://doi.org/10.1145/3387940.3391474</t>
  </si>
  <si>
    <t xml:space="preserve"> Modeling and Verifying Dynamic Architectures with FACTUM Studio</t>
  </si>
  <si>
    <t xml:space="preserve">Gidey, H.K., Collins, A., Marmsoler, D. </t>
  </si>
  <si>
    <t>https://doi.org/10.1007/978-3-030-40914-2_13</t>
  </si>
  <si>
    <t>Towards Formalizing Data-Driven Decision-Making from Big Data: A Systematic Multi-Criteria Decision-Making Approach in Online Controlled Experiments</t>
  </si>
  <si>
    <t>Wu, Jie JW.</t>
  </si>
  <si>
    <t>https://www.proquest.com/openview/c67842b50b097aa6410d753157b3cb3a/1?pq-origsite=gscholar&amp;cbl=18750&amp;diss=y</t>
  </si>
  <si>
    <t>A Theoretical Framework for Self-Adaptive Systems: Specifications, Formalisation, and Architectural Implications</t>
  </si>
  <si>
    <t>Ana Petrovska, Thomas Hutzelmann, Stefan Kugele</t>
  </si>
  <si>
    <t>https://doi.org/10.1145/3555776.3577665</t>
  </si>
  <si>
    <t>ПОДХОДЫ К МОДЕЛИРОВАНИЮ БЕЗОПАСНОСТИ КИБЕРФИЗИЧЕСКИХ СИСТЕМ</t>
  </si>
  <si>
    <t>ZEGZHDA D.P. 1 , Vasiliev Yu.S. 1 , Poltavtseva M.A. 1</t>
  </si>
  <si>
    <t>https://www.elibrary.ru/yllufi</t>
  </si>
  <si>
    <t>Understanding and Improving Continuous Experimentation From A/B Testing to Continuous Software Optimization</t>
  </si>
  <si>
    <t>Ros, Rasmsus</t>
  </si>
  <si>
    <t>https://lucris.lub.lu.se/ws/portalfiles/portal/113738030/Thesis_Rasmus_Ros.pdf</t>
  </si>
  <si>
    <t>ОБЕСПЕЧЕНИЕ ИНФОРМАЦИОННОЙ БЕЗОПАСНОСТИ КИБЕРФИЗИЧЕСКИХ СИСТЕМ НА ОСНОВЕ ПРИНЦИПА ГОМЕОСТАЗА</t>
  </si>
  <si>
    <t>https://www.elibrary.ru/ypuydj</t>
  </si>
  <si>
    <t>SemRob: Towards Semantic Stream Reasoning for Robotic Operating Systems</t>
  </si>
  <si>
    <t>Manh Nguyen-Duc, Anh Le-Tuan, Manfred Hauswirth, David Bowden, Danh Le-Phuoc</t>
  </si>
  <si>
    <t>https://doi.org/10.48550/arXiv.2201.11625</t>
  </si>
  <si>
    <t>meta, WIP roadmap, no clear details on what they mean by adaptation,</t>
  </si>
  <si>
    <t>Robust Stream Reasoning Under Uncertainty</t>
  </si>
  <si>
    <t>D De Leng</t>
  </si>
  <si>
    <t>https://liu.diva-portal.org/smash/record.jsf?pid=diva2%3A1367625&amp;dswid=-7753</t>
  </si>
  <si>
    <t>Ontology-based Access to Temporal Data</t>
  </si>
  <si>
    <t>Elem Güzel Kalayci</t>
  </si>
  <si>
    <t>https://hdl.handle.net/10863/25140</t>
  </si>
  <si>
    <t>Spatio-Temporal Stream Reasoning with Adaptive State Stream Generation</t>
  </si>
  <si>
    <t>https://liu.diva-portal.org/smash/record.jsf?pid=diva2%3A1139231&amp;dswid=-3553</t>
  </si>
  <si>
    <t>Last Night in Sweden: A Vision for Resource-Intelligent Stream Reasoning</t>
  </si>
  <si>
    <t>D De Leng, P Bonte</t>
  </si>
  <si>
    <t>https://doi.org/10.1145/3629104.3666035</t>
  </si>
  <si>
    <t>it is not about a system, or a specific robotic system unfortunately</t>
  </si>
  <si>
    <t>Robot–City Interaction: Mapping the Research Landscape—A Survey of the Interactions Between Robots and Modern Cities</t>
  </si>
  <si>
    <t xml:space="preserve">Tiddi, I., Bastianelli, E., Daga, E. et al. </t>
  </si>
  <si>
    <t>https://doi.org/10.1007/s12369-019-00534-x</t>
  </si>
  <si>
    <t>:)</t>
  </si>
  <si>
    <t>Functional Self-Awareness and Metacontrol for Underwater Robot Autonomy</t>
  </si>
  <si>
    <t xml:space="preserve">Aguado, E.; Milosevic, Z.; Hernández, C.; Sanz, R.; Garzon, M.; Bozhinoski, D.; Rossi, C. </t>
  </si>
  <si>
    <t>https://doi.org/10.3390/s21041210</t>
  </si>
  <si>
    <t>Towards adaptive multi-robot systems: self-organization and self-adaptation</t>
  </si>
  <si>
    <t xml:space="preserve">Hrabia, C., Lützenberger, M., &amp; Albayrak, S. </t>
  </si>
  <si>
    <t>https://doi.org/10.1017/S0269888918000176</t>
  </si>
  <si>
    <t>Managing safety and mission completion via collective run-time adaptation</t>
  </si>
  <si>
    <t>Darko Bozhinoski &amp; David Garlan &amp; Ivano Malavolta &amp; Patrizio Pelliccione</t>
  </si>
  <si>
    <t>https://doi.org/10.1016/j.sysarc.2019.02.018</t>
  </si>
  <si>
    <t>8,10,16</t>
  </si>
  <si>
    <t>Context-aware system synthesis, task assignment, and routing</t>
  </si>
  <si>
    <t xml:space="preserve">Ziglar, J., Williams, R.K. &amp; Wicks, A. </t>
  </si>
  <si>
    <t>https://doi.org/10.1007/s10514-022-10076-3</t>
  </si>
  <si>
    <t>Byzantine fault tolerance for centrally coordinated missions with unmanned vehicles</t>
  </si>
  <si>
    <t>Grigoropoulos, Nasos and Koutsoubelias, Manos and Lalis, Spyros</t>
  </si>
  <si>
    <t>https://doi.org/10.1145/3387902.3392622</t>
  </si>
  <si>
    <t>?</t>
  </si>
  <si>
    <t>Sustainable Safety in Mobile Multi-robot Systems via Collective Adaptation</t>
  </si>
  <si>
    <t>Bozhinoski, Darko and Malavolta, Ivano and Bucchiarone, Antonio and Marconi, Annapaola</t>
  </si>
  <si>
    <t>10.1109/SASO.2015.31</t>
  </si>
  <si>
    <t>Active Replication for Centrally Coordinated Teams of Autonomous Vehicles</t>
  </si>
  <si>
    <t>N. Grigoropoulos, M. Koutsoubelias and S. Lalis</t>
  </si>
  <si>
    <t>https://doi.org/10.1109/DCOSS.2019.00038</t>
  </si>
  <si>
    <t>pre-cursor to #64</t>
  </si>
  <si>
    <t>Real-time software module design framework for building self-adaptive robotic systems</t>
  </si>
  <si>
    <t>this is primary 16</t>
  </si>
  <si>
    <t>Self-Adaptive and Self-Organised Planning and Decision-Making for Multi-Robot Systems</t>
  </si>
  <si>
    <t>Christopher-Eyk Hrabia</t>
  </si>
  <si>
    <t>https://api-depositonce.tu-berlin.de/server/api/core/bitstreams/d3df013c-d38e-4fa3-bd54-be1e0dd4e97c/content</t>
  </si>
  <si>
    <t>EmSBot: A modular framework supporting the development of swarm robotics applications</t>
  </si>
  <si>
    <t xml:space="preserve">Peng L, Guan F, Perneel L, Timmerman M. </t>
  </si>
  <si>
    <t>https://doi.org/10.1177/1729881416663662</t>
  </si>
  <si>
    <t>Comparative Evaluation of Error Recovery Strategies for Robust Robot Navigation</t>
  </si>
  <si>
    <t>Devaiah Ulliyada Arun</t>
  </si>
  <si>
    <t>https://www.researchgate.net/profile/Devaiah-Ulliyada-Arun/publication/362080649_Comparative_Evaluation_of_Error_Recovery_Strategies_for_Robust_Robot_Navigation/links/62d5dbbbbf4b98532233cfbf/Comparative-Evaluation-of-Error-Recovery-Strategies-for-Robust-Robot-Navigation.pdf</t>
  </si>
  <si>
    <t>Safety for mobile robotic systems: A systematic mapping study from a software engineering perspective</t>
  </si>
  <si>
    <t>Darko Bozhinoski, Davide Di Ruscio, Ivano Malavolta, Patrizio Pelliccione, Ivica Crnkovic</t>
  </si>
  <si>
    <t>https://doi.org/10.1016/j.jss.2019.02.021</t>
  </si>
  <si>
    <t>8,11</t>
  </si>
  <si>
    <t>Managing safety and run-time adaptability in mission-critical Mobile Multi-robot system</t>
  </si>
  <si>
    <t>Darko Bozhinoski</t>
  </si>
  <si>
    <t>https://hdl.handle.net/20.500.12571/9644</t>
  </si>
  <si>
    <t>ReFrESH: An Infrastructure to Build Self-Aware Robotic Systems</t>
  </si>
  <si>
    <t>Yanzhe Cui</t>
  </si>
  <si>
    <t>https://search.proquest.com/openview/30e1456e247f7738ae5128bf4e14323e/1?pq-origsite=gscholar&amp;cbl=18750</t>
  </si>
  <si>
    <t>Context-based selection and execution of robot perception graphs</t>
  </si>
  <si>
    <t>N. Hochgeschwender, M. A. Olivares-Mendez, H. Voos and G. K. Kraetzschmar</t>
  </si>
  <si>
    <t>https://doi.org/10.1109/ETFA.2015.7301631</t>
  </si>
  <si>
    <t>an earlier version of this paper cites the primary study and exists on google scholar. This version does not</t>
  </si>
  <si>
    <t>SiAlON Seramiklerinin Karbon Fiber Takviyeli Polimer Kompozit Malzemelerin Delme Operasyonlarındaki Performansları</t>
  </si>
  <si>
    <t>Ali ÇELİK</t>
  </si>
  <si>
    <t>https://search.proquest.com/openview/d0fca4c5bb9405be68643cdf5796eb96/1?pq-origsite=gscholar&amp;cbl=2026366&amp;diss=y</t>
  </si>
  <si>
    <t>Defining adaptivity and logical architecture for engineering (smart) self-adaptive cyber–physical systems</t>
  </si>
  <si>
    <t>Ana Petrovska, Stefan Kugele, Thomas Hutzelmann, Theo Beffart, Sebastian Bergemann, Alexander Pretschner</t>
  </si>
  <si>
    <t>https://doi.org/10.1016/j.infsof.2022.106866</t>
  </si>
  <si>
    <t>it is not about one robot system per se but rather more meta.</t>
  </si>
  <si>
    <t>How do we Evaluate Self-adaptive Software Systems?: A Ten-Year Perspective of SEAMS</t>
  </si>
  <si>
    <t>I. Gerostathopoulos, T. Vogel, D. Weyns and P. Lago</t>
  </si>
  <si>
    <t>https://doi.org/10.1109/SEAMS51251.2021.00018</t>
  </si>
  <si>
    <t>Explaining quality attribute tradeoffs in automated planning for self-adaptive systems</t>
  </si>
  <si>
    <t>Rebekka Wohlrab, Javier Cámara, David Garlan, Bradley Schmerl,</t>
  </si>
  <si>
    <t>https://doi.org/10.1016/j.jss.2022.111538</t>
  </si>
  <si>
    <t>its not really about the robots, nor their architecture, rather about planning and quality.</t>
  </si>
  <si>
    <t>Hierarchical Control for Self-adaptive IoT Systems A Constraint Programming-Based Adaptation Approach</t>
  </si>
  <si>
    <t>Mahyar Tourchi Moghaddam. Eric Rutten, Guillaume Giraud</t>
  </si>
  <si>
    <t>https://inria.hal.science/hal-03461137</t>
  </si>
  <si>
    <t>Development and Integration of Self-Adaptation Strategies for Robotics Software</t>
  </si>
  <si>
    <t>Elvin Alberts</t>
  </si>
  <si>
    <t>https://doi.org/10.1109/ICSA-C57050.2023.00038</t>
  </si>
  <si>
    <t>first authors phd symposium paper, there's no actual robot involved.</t>
  </si>
  <si>
    <t>A Survey on Self-adaptation Planning Optimization Techniques</t>
  </si>
  <si>
    <t>R. Bousselidj, S. Boulehouache and S. Brahimi</t>
  </si>
  <si>
    <t>https://doi.org/10.1109/NTIC55069.2022.10100355</t>
  </si>
  <si>
    <t>Towards Planning and Adaptation of Assistive-care Robot Tasks</t>
  </si>
  <si>
    <t>Jordan Hamilton and Ioannis Stefanakos and Radu Calinescu and Javier Camara</t>
  </si>
  <si>
    <t>https://eprints.whiterose.ac.uk/191116/</t>
  </si>
  <si>
    <t>there's another (identical) version with a slightly different name. It is not a full work yet so there isn't any data to extract. The data that is there does not suggest it will be useful for snowballing.</t>
  </si>
  <si>
    <t>Service Robotics Software Engineering</t>
  </si>
  <si>
    <t>García, Sergio</t>
  </si>
  <si>
    <t>https://gupea.ub.gu.se/handle/2077/68935</t>
  </si>
  <si>
    <t>Automated Scheduling of Multi-Robot System Missions: An Architectural Perspective</t>
  </si>
  <si>
    <t>Gricel Vazquez</t>
  </si>
  <si>
    <t>http://ceur-ws.org/Vol-2978/ds-paper97.pdf</t>
  </si>
  <si>
    <t>Towards self-adaptive machine learning-enabled systems through QoS-aware model switching</t>
  </si>
  <si>
    <t>Shubham Kulkarni; Arya Marda; Karthik Vaidhyanathan</t>
  </si>
  <si>
    <t>https://doi.org/10.1109/ASE56229.2023.00172</t>
  </si>
  <si>
    <t>Adapting specifications for reactive controllers</t>
  </si>
  <si>
    <t>Titus Buckworth; Dalal Alrajeh; Jeff Kramer; Sebastian Uchitel</t>
  </si>
  <si>
    <t>https://doi.org/10.1109/SEAMS59076.2023.00012</t>
  </si>
  <si>
    <t>Robotics: A New Mission for FRET Requirements</t>
  </si>
  <si>
    <t>Vázquez, G., Mavridou, A., Farrell, M., Pressburger, T., Calinescu, R</t>
  </si>
  <si>
    <t>https://doi.org/10.1007/978-3-031-60698-4_22</t>
  </si>
  <si>
    <t>Runtime Verification and Field Testing for ROS-Based Robotic Systems</t>
  </si>
  <si>
    <t>Ricardo Caldas, Juan Antonio Piñera García, Matei Schiopu, Patrizio Pelliccione, Genaína Rodrigues, Thorsten Berger</t>
  </si>
  <si>
    <t>https://arxiv.org/abs/2404.11498</t>
  </si>
  <si>
    <t>9,10,14, 40</t>
  </si>
  <si>
    <t>Software Reconfiguration in Robotics</t>
  </si>
  <si>
    <t>Sven Peldszus, Davide Brugali, Daniel Strüber, Patrizio Pelliccione, Thorsten Berger</t>
  </si>
  <si>
    <t>https://arxiv.org/abs/2310.01039</t>
  </si>
  <si>
    <t>Runtime Architecture and Task Plan Co-Adaptation for Autonomous Robots with Metaplan</t>
  </si>
  <si>
    <t>Jeroen M. Zwanepol, Gustavo Rezende Silva, Carlos Hernández Corbato</t>
  </si>
  <si>
    <t>https://arxiv.org/abs/2312.10525</t>
  </si>
  <si>
    <t>Software as a Device in Edge Computing</t>
  </si>
  <si>
    <t>Juric, Radmila Suh, Sang Ronchieri, Elisabetta Tanik, Murat Carbone, John Mcclenaghan, Karoline</t>
  </si>
  <si>
    <t>https://hdl.handle.net/10125/107293</t>
  </si>
  <si>
    <t>Towards Adaptive Planning of Assistive-care Robot Tasks</t>
  </si>
  <si>
    <t>Jordan Hamilton (University of York), Ioannis Stefanakos (University of York), Radu Calinescu (University of York), Javier Cámara (University of Málaga)</t>
  </si>
  <si>
    <t>https://arxiv.org/abs/2209.14041</t>
  </si>
  <si>
    <t>9,39</t>
  </si>
  <si>
    <t>Automated Planning for Adaptive Cyber-Physical Systems under Uncertainty in Temporal Availability Constraints</t>
  </si>
  <si>
    <t>Raquel Sanchez, Javier Troya, Javier Camara</t>
  </si>
  <si>
    <t>https://doi.org/10.1145/3643915.3644083</t>
  </si>
  <si>
    <t>there is insufficient focus on the robot as a system, and specifically the architecture of that system</t>
  </si>
  <si>
    <t>Automated Planning for Task-Based Cyber-Physical Systems Under Interacting Sources of Uncertainty</t>
  </si>
  <si>
    <t>https://ssrn.com/abstract=4918199</t>
  </si>
  <si>
    <t>preprint, journal extension of above it seems</t>
  </si>
  <si>
    <t>On Engineering Self-Adaptive Cyber-Physical Systems</t>
  </si>
  <si>
    <t>Petrovska, Ana</t>
  </si>
  <si>
    <t>https://mediatum.ub.tum.de/1692104</t>
  </si>
  <si>
    <t>Decentralised Control for Distributed Self-adaptive Systems with Strict Quality-of-Service Requirements</t>
  </si>
  <si>
    <t>SAUD YONBAWI</t>
  </si>
  <si>
    <t>https://etheses.whiterose.ac.uk/29553/1/Yonbawi_203044176_Thesis_v4.pdf</t>
  </si>
  <si>
    <t xml:space="preserve">Molecular Evolution of Chloroplast Genomes of Orchid Species: Insights into Phylogenetic Relationship and Adaptive Evolution </t>
  </si>
  <si>
    <t>Dong, W.-L.; Wang, R.-N.; Zhang, N.-Y.; Fan, W.-B.; Fang, M.-F.; Li, Z.-H.</t>
  </si>
  <si>
    <t>https://doi.org/10.3390/ijms19030716</t>
  </si>
  <si>
    <t>these guys are citing the wrong MAUVE I think.</t>
  </si>
  <si>
    <t>Recent Trends in Formal Validation and Verification of Autonomous Robots Software</t>
  </si>
  <si>
    <t>F. Ingrand</t>
  </si>
  <si>
    <t>https://doi.org/10.1109/IRC.2019.00059</t>
  </si>
  <si>
    <t>The Complete Plastid Genome of Magnolia zenii and Genetic Comparison to Magnoliaceae species</t>
  </si>
  <si>
    <t xml:space="preserve">Li, Y.; Sylvester, S.P.; Li, M.; Zhang, C.; Li, X.; Duan, Y.; Wang, X. </t>
  </si>
  <si>
    <t>https://doi.org/10.3390/molecules24020261</t>
  </si>
  <si>
    <t>Evolutionary patterns of nucleotide substitution rates in plastid genomes of Quercus</t>
  </si>
  <si>
    <t>Xuan Li, Yongfu Li, Steven Paul Sylvester, Mingyue Zang, Yousry A. El-Kassaby, Yanming Fang</t>
  </si>
  <si>
    <t xml:space="preserve"> https://doi.org/10.1002/ece3.8063</t>
  </si>
  <si>
    <t>A Design and Analysis Methodology for Component-Based Real-Time Architectures of Autonomous Systems</t>
  </si>
  <si>
    <t xml:space="preserve">Nicolas Gobillot, Charles Lesire &amp; David Doose </t>
  </si>
  <si>
    <t>https://doi.org/10.1007/s10846-018-0967-5</t>
  </si>
  <si>
    <t>It is a follow-up but as far as I can see they don't focus on re-configuration at all</t>
  </si>
  <si>
    <t>The complete chloroplast genome and characteristics analysis of Callistemon rigidus</t>
  </si>
  <si>
    <t>Liu, F., Movahedi, A., Yang, W. et al.</t>
  </si>
  <si>
    <t>https://doi.org/10.1007/s11033-020-05567-4</t>
  </si>
  <si>
    <t>ASPiC: An Acting System Based on Skill Petri Net Composition</t>
  </si>
  <si>
    <t>C. Lesire and F. Pommereau</t>
  </si>
  <si>
    <t>https://doi.org/10.1109/IROS.2018.8594328</t>
  </si>
  <si>
    <t>its more planning than anything architectural</t>
  </si>
  <si>
    <t>The XBot2 real-time middleware for robotics</t>
  </si>
  <si>
    <t>Arturo Laurenzi, Davide Antonucci, Nikos G. Tsagarakis, Luca Muratore</t>
  </si>
  <si>
    <t>https://doi.org/10.1016/j.robot.2023.104379</t>
  </si>
  <si>
    <t>A formal toolchain for offline and run-time verification of robotic systems</t>
  </si>
  <si>
    <t>Silvano Dal Zilio a, Pierre-Emmanuel Hladik b, Félix Ingrand a, Anthony Mallet</t>
  </si>
  <si>
    <t>https://doi.org/10.1016/j.robot.2022.104301</t>
  </si>
  <si>
    <t>Phylogenetic relationships and molecular evolution of woody forest tree family Aceraceae based on plastid phylogenomics and nuclear gene variations</t>
  </si>
  <si>
    <t xml:space="preserve">Peng-Bin Dong a 1, Ruo-Nan Wang a 1, Nawal Afzal a 1, Mi-Li Liu a, Ming Yue a, Jian-Ni Liu b, Jiang-Li Tan a, Zhong-Hu Li </t>
  </si>
  <si>
    <t>https://doi.org/10.1016/j.ygeno.2021.03.037</t>
  </si>
  <si>
    <t>The complete chloroplast genome and characteristics analysis of Musa basjoo Siebold</t>
  </si>
  <si>
    <t xml:space="preserve">Fenxiang Liu, Ali Movahedi, Wenguo Yang, Dezhi Xu, Chuanbei Jiang, Jigang Xie &amp; Yu Zhang </t>
  </si>
  <si>
    <t>https://doi.org/10.1007/s11033-021-06702-5</t>
  </si>
  <si>
    <t>A hierarchical fault tolerant architecture for an autonomous robot</t>
  </si>
  <si>
    <t>A. Favier, A. Messioux, J. Guiochet, J. -C. Fabre and C. Lesire</t>
  </si>
  <si>
    <t>https://doi.org/10.1109/DSN-W50199.2020.00031</t>
  </si>
  <si>
    <t>50/50, maybe not architectural enough.. They are really presenting more of an approach/architecture as the title states. This means that a recovery mechamnism could be architectural but does not necessarily have to be. Does that mean we dismiss or instead use it for snowballing?</t>
  </si>
  <si>
    <t>Verification of Autonomous Robots: A Roboticist’s Bottom-Up Approach</t>
  </si>
  <si>
    <t xml:space="preserve">Ingrand, F. </t>
  </si>
  <si>
    <t>https://doi.org/10.1007/978-3-030-66494-7_8</t>
  </si>
  <si>
    <t>Synthesis of Real-Time Observers from Past-Time Linear Temporal Logic and Timed Specification</t>
  </si>
  <si>
    <t>C. Lesire, S. Roussel, D. Doose and C. Grand,</t>
  </si>
  <si>
    <t>https://doi.org/10.1109/ICRA.2019.8793754</t>
  </si>
  <si>
    <t>Intergiciel temp-réel distribué</t>
  </si>
  <si>
    <t>B Varillon</t>
  </si>
  <si>
    <t>https://scholar.googleusercontent.com/scholar?q=cache:o6RpWKcOrGEJ:scholar.google.com/&amp;hl=en&amp;as_sdt=2005&amp;sciodt=0,5</t>
  </si>
  <si>
    <t>Distributed real-time control architecture for electrohydraulic humanoid robots</t>
  </si>
  <si>
    <t>Subhi Jleilaty, Anas Ammounah, Ghiath Abdulmalek, Lydie Nouveliere, Hang Su, Samer Alfayad</t>
  </si>
  <si>
    <t>https://doi.org/10.1108/RIA-01-2024-0013</t>
  </si>
  <si>
    <t>Control Architecture for Electro-Hydraulic Humanoid Robot</t>
  </si>
  <si>
    <t>Subhi Jleilaty</t>
  </si>
  <si>
    <t>https://theses.hal.science/tel-04524748/</t>
  </si>
  <si>
    <t>Enhancing Human-in-the-Loop Adaptive Systems through Digital Twins and VR Interfaces</t>
  </si>
  <si>
    <t>E. Yigitbas, K. Karakaya, I. Jovanovikj and G. Engels</t>
  </si>
  <si>
    <t>doi.org/10.1109/SEAMS51251.2021.00015</t>
  </si>
  <si>
    <t>Collective Adaptation through Multi-Agents Ensembles: The Case of Smart Urban Mobility</t>
  </si>
  <si>
    <t>Antonio Bucchiarone</t>
  </si>
  <si>
    <t>https://doi.org/10.1145/3355562</t>
  </si>
  <si>
    <t>they are adapting an ensemble not architectures directly</t>
  </si>
  <si>
    <t>Software variability in service robotics</t>
  </si>
  <si>
    <t>García, S., Strüber, D., Brugali, D. et al.</t>
  </si>
  <si>
    <t>https://doi.org/10.1007/s10664-022-10231-5</t>
  </si>
  <si>
    <t>Environment-Centric Safety Requirements for Autonomous Unmanned Systems</t>
  </si>
  <si>
    <t>Y. Luo, Y. Yu, Z. Jin and H. Zhao,</t>
  </si>
  <si>
    <t>https://doi.org/10.1109/RE.2019.00054</t>
  </si>
  <si>
    <t>Leveraging Collective Run-Time Adaptation for UAV-Based Systems</t>
  </si>
  <si>
    <t>D. Bozhinoski, A. Bucchiarone, I. Malavolta, A. Marconi and P. Pelliccione</t>
  </si>
  <si>
    <t>https://doi.org/10.1109/SEAA.2016.41</t>
  </si>
  <si>
    <t>its a bit strange, its a preliminary for #104, the adaptation is more of a collective solver. Not really architectural</t>
  </si>
  <si>
    <t>Adaptive task-oriented message template for in-network processing</t>
  </si>
  <si>
    <t>Nguyen, The An Binh and Meurisch, Christian and Niemczyk, Stefan and Böhnstedt, Doreen and Geihs, Kurt and Mühlhäuser, Max and Steinmetz, Ralf</t>
  </si>
  <si>
    <t>https://doi.org/10.1109/NetSys.2017.7903952</t>
  </si>
  <si>
    <t>Decentralized Dynamic Adaptation for Service-Based Collective Adaptive Systems</t>
  </si>
  <si>
    <t>Bucchiarone, A., De Sanctis, M., Marconi, A.</t>
  </si>
  <si>
    <t>https://doi.org/10.1007/978-3-319-68136-8_1</t>
  </si>
  <si>
    <t>An application of semantic technologies to self adaptations</t>
  </si>
  <si>
    <t>F. Poggi, D. Rossi, P. Ciancarini and L. Bompani</t>
  </si>
  <si>
    <t>https://doi.org/10.1109/RTSI.2016.7740548</t>
  </si>
  <si>
    <t>Integrating Semantic Run-Time Models for Adaptive Software Systems</t>
  </si>
  <si>
    <t>Francesco Poggi1, Davide Rossi1 and Paolo Ciancarini2</t>
  </si>
  <si>
    <t>https://doi.org/10.13052/jwe1540-9589.18131</t>
  </si>
  <si>
    <t>extension of the above</t>
  </si>
  <si>
    <t>On-the-fly transformation synthesis for information sharing in heterogeneous multi-agent systems</t>
  </si>
  <si>
    <t>Niemczyk, Stefan and Fredivianus, Nugroho and Geihs, Kurt</t>
  </si>
  <si>
    <t>https://doi.org/10.1145/3019612.3019879</t>
  </si>
  <si>
    <t>(folllow-up) short, no specific robot involved</t>
  </si>
  <si>
    <t>Testing Self-Adaptive Systems A Model-based Approach to Resilience</t>
  </si>
  <si>
    <t>George Puschel</t>
  </si>
  <si>
    <t>https://nbn-resolving.org/urn:nbn:de:bsz:14-qucosa-237791</t>
  </si>
  <si>
    <t>Dynamic Adaptation of Service-Based Systems: a Design for Adaptation Framework</t>
  </si>
  <si>
    <t>M. De Sanctis</t>
  </si>
  <si>
    <t>https://iris.unitn.it/retrieve/2885ae50-2d19-4f37-a74a-2d6bd0ee41e8/Online_PhD-Thesis_MartinaDeSanctis.pdf</t>
  </si>
  <si>
    <t>Safety-critical advanced robots: A survey</t>
  </si>
  <si>
    <t>Jérémie Guiochet a b, Mathilde Machin a b, Hélène Waeselynck</t>
  </si>
  <si>
    <t>https://doi.org/10.1016/j.robot.2017.04.004</t>
  </si>
  <si>
    <t>On Fault Detection and Diagnosis in Robotic Systems</t>
  </si>
  <si>
    <t>Khalastchi, Eliahu and Kalech, Meir</t>
  </si>
  <si>
    <t>https://doi.org/10.1145/3146389</t>
  </si>
  <si>
    <t>OpenStreetMap-Based Autonomous Navigation for the Four Wheel-Legged Robot Via 3D-Lidar and CCD Camera</t>
  </si>
  <si>
    <t>J. Li, H. Qin, J. Wang and J. Li</t>
  </si>
  <si>
    <t>https://doi.org/10.1109/TIE.2021.3070508</t>
  </si>
  <si>
    <t>Explainable AI for Robot Failures: Generating Explanations that Improve User Assistance in Fault Recovery</t>
  </si>
  <si>
    <t>Das, Devleena and Banerjee, Siddhartha and Chernova, Sonia</t>
  </si>
  <si>
    <t>https://doi.org/10.1145/3434073.3444657</t>
  </si>
  <si>
    <t>A Novel Online Data-Driven Algorithm for Detecting UAV Navigation Sensor Faults</t>
  </si>
  <si>
    <t>Sun, Rui, Qi Cheng, Guanyu Wang, and Washington Yotto Ochieng</t>
  </si>
  <si>
    <t>https://doi.org/10.3390/s17102243</t>
  </si>
  <si>
    <t>Online data-driven anomaly detection in autonomous robots</t>
  </si>
  <si>
    <t>Khalastchi, E., Kalech, M., Kaminka, G.A. et al.</t>
  </si>
  <si>
    <t>https://doi.org/10.1007/s10115-014-0754-y</t>
  </si>
  <si>
    <t>PDDL4J: a planning domain description library for java</t>
  </si>
  <si>
    <t>D. Pellier, H. Fiorino</t>
  </si>
  <si>
    <t>https://doi.org/10.1080/0952813X.2017.1409278</t>
  </si>
  <si>
    <t>Fault Detection and Diagnosis in Multi-Robot Systems: A Survey</t>
  </si>
  <si>
    <t>Khalastchi, E.; Kalech, M. Fault Detection and Diagnosis in Multi-Robot Systems: A Survey.</t>
  </si>
  <si>
    <t>https://doi.org/10.3390/s19184019</t>
  </si>
  <si>
    <t>Formal verification of complex robotic systems on resource-constrained platforms</t>
  </si>
  <si>
    <t>Foughali, Mohammed and Berthomieu, Bernard and Zilio, Silvano Dal and Hladik, Pierre-Emmanuel and Ingrand, F\'{e}lix and Mallet, Anthony</t>
  </si>
  <si>
    <t>https://doi.org/10.1145/3193992.3193996</t>
  </si>
  <si>
    <t>3D object perception and perceptual learning in the RACE project</t>
  </si>
  <si>
    <t>Miguel Oliveira a, Luís Seabra Lopes a b, Gi Hyun Lim a, S. Hamidreza Kasaei a, Ana Maria Tomé a b, Aneesh Chauhan</t>
  </si>
  <si>
    <t>https://doi.org/10.1016/j.robot.2015.09.019</t>
  </si>
  <si>
    <t>A sensor-based approach for fault detection and diagnosis for robotic systems</t>
  </si>
  <si>
    <t xml:space="preserve">Khalastchi, E., Kalech, M. </t>
  </si>
  <si>
    <t>https://doi.org/10.1007/s10514-017-9688-z</t>
  </si>
  <si>
    <t>Reinforcement learning compensated coordination control of multiple mobile manipulators for tight cooperation</t>
  </si>
  <si>
    <t>Pengjie Xu, Yuanzhe Cui, Yichao Shen, Wei Zhu, Yiheng Zhang, Bingzheng Wang, Qirong Tang</t>
  </si>
  <si>
    <t>https://doi.org/10.1016/j.engappai.2023.106281</t>
  </si>
  <si>
    <t>Bootstrapping MDE development from ROS manual code: Part 2—Model generation and leveraging models at runtime</t>
  </si>
  <si>
    <t xml:space="preserve">Nadia Hammoudeh García, Harshavardhan Deshpande, André Santos, Björn Kahl &amp; Mirko Bordignon </t>
  </si>
  <si>
    <t>https://doi.org/10.1007/s10270-021-00873-2</t>
  </si>
  <si>
    <t>Taking Recoveries to Task: Recovery-Driven Development for Recipe-Based Robot Tasks.</t>
  </si>
  <si>
    <t>Banerjee, S. et al.</t>
  </si>
  <si>
    <t>https://doi.org/10.1007/978-3-030-95459-8_36</t>
  </si>
  <si>
    <t>Formal Verification of ROS Based Systems Using a Linear Logic Theorem Prover</t>
  </si>
  <si>
    <t>S. Kortik and T. K. Shastha</t>
  </si>
  <si>
    <t>https://doi.org/10.1109/ICRA48506.2021.9561191</t>
  </si>
  <si>
    <t>Sensors fault diagnosis in autonomous mobile robots using observer — Based technique</t>
  </si>
  <si>
    <t>G. K. Fourlas, G. C. Karras and K. J. Kyriakopoulos</t>
  </si>
  <si>
    <t>https://doi.org/10.1109/ICCAR.2015.7166000</t>
  </si>
  <si>
    <t>A hybrid approach for improving unsupervised fault detection for robotic systems</t>
  </si>
  <si>
    <t>Eliahu Khalastchi, Meir Kalech, Lior Rokach,</t>
  </si>
  <si>
    <t>https://doi.org/10.1016/j.eswa.2017.03.058</t>
  </si>
  <si>
    <t>Autonomous fault detection for performance bugs in component-based robotic systems</t>
  </si>
  <si>
    <t>J. Wienke and S. Wrede,</t>
  </si>
  <si>
    <t>https://doi.org/10.1109/IROS.2016.7759507</t>
  </si>
  <si>
    <t>OpenStreetMap-Based Autonomous Navigation With LiDAR Naive-Valley-Path Obstacle Avoidance</t>
  </si>
  <si>
    <t>M. Á. Muñoz-Bañón, E. Velasco-Sánchez, F. A. Candelas and F. Torres</t>
  </si>
  <si>
    <t>https://doi.org/10.1109/TITS.2022.3208829</t>
  </si>
  <si>
    <t>Model-Based Fault Diagnosis Techniques for Mobile Robots</t>
  </si>
  <si>
    <t>Anastassia Kuestenmacher, Paul G. Plöger</t>
  </si>
  <si>
    <t>https://doi.org/10.1016/j.ifacol.2016.07.613</t>
  </si>
  <si>
    <t>How should I compute my candidates? A taxonomy and classification of diagnosis computation algorithms</t>
  </si>
  <si>
    <t>Patrick Rodler</t>
  </si>
  <si>
    <t>https://doi.org/10.48550/arXiv.2207.12583</t>
  </si>
  <si>
    <t>DynamicHS: Streamlining Reiter’s Hitting-Set Tree for Sequential Diagnosis</t>
  </si>
  <si>
    <t>https://doi.org/10.1016/j.ins.2022.08.029</t>
  </si>
  <si>
    <t>I cannot find it actually citing 12, possibly google scholar glitch</t>
  </si>
  <si>
    <t>Memory-limited model-based diagnosis</t>
  </si>
  <si>
    <t>https://doi.org/10.1016/j.artint.2022.103681</t>
  </si>
  <si>
    <t>A skill fault model for autonomous systems</t>
  </si>
  <si>
    <t>G. C. Medina, J. Guiochet, C. Lesire and A. Manecy,</t>
  </si>
  <si>
    <t>https://doi.org/10.1145/3526071.3527513</t>
  </si>
  <si>
    <t>Fault Tolerant Control for a 4-Wheel Skid Steering Mobile Robot</t>
  </si>
  <si>
    <t>George K. Fourlas1 , George C. Karras2 and Kostas J. Kyriakopoulos</t>
  </si>
  <si>
    <t>https://ceur-ws.org/Vol-1507/dx15paper23.pdf</t>
  </si>
  <si>
    <t>Inducing Rules about Distributed Robotic Systems for Fault Detection &amp; Diagnosis</t>
  </si>
  <si>
    <t>Youssef Mahmoud Youssef</t>
  </si>
  <si>
    <t>https://www.ifaamas.org/Proceedings/aamas2021/pdfs/p1845.pdf</t>
  </si>
  <si>
    <t>Drums: a Middleware-Aware Distributed Robot Monitoring System</t>
  </si>
  <si>
    <t>Monajjemi, Mani and Wawerla, Jens and Vaughan, Richard</t>
  </si>
  <si>
    <t>https://doi.org/10.1145/2843966.2843974</t>
  </si>
  <si>
    <t>Framework-level resource awareness in robotics and intelligent systems. Improving dependability by exploiting knowledge about system resources</t>
  </si>
  <si>
    <t xml:space="preserve">Wienke J </t>
  </si>
  <si>
    <t>https://doi.org/10.4119/unibi/2932136</t>
  </si>
  <si>
    <t>Fault tolerant planning: towards dependable autonomous robots</t>
  </si>
  <si>
    <t>Benjamin Lussier (1) , Jérémie Guiochet (2) , Félix Ingrand (3) , Marc-Olivier Killijian (2) , David Powell (2)</t>
  </si>
  <si>
    <t>https://hal.science/hal-01271568/</t>
  </si>
  <si>
    <t>yeah, probably.. They introduce a new planning component (an adaptation manager) which uses diversificiation of planning modules to swap out planners at runtime when errors are detected.</t>
  </si>
  <si>
    <t>Fault Diagnosis in Robot Task Execution</t>
  </si>
  <si>
    <t>Siddhartha Banerjee, Sonia Chernova</t>
  </si>
  <si>
    <t>http://www.banerjs.com/pdf/banerjs_aaai2019sss.pdf</t>
  </si>
  <si>
    <t>Autonomous skill-centric testing using deep learning</t>
  </si>
  <si>
    <t>S. Hangl, S. Stabinger and J. Piater</t>
  </si>
  <si>
    <t>doi.org/10.1109/IROS.2017.8202143</t>
  </si>
  <si>
    <t>Trusting robots : Contributions to dependable autonomous collaborative robotic systems</t>
  </si>
  <si>
    <t xml:space="preserve">Jérémie Guiochet </t>
  </si>
  <si>
    <t>https://hal.science/tel-01276555/</t>
  </si>
  <si>
    <t>Automated Generation of Diagnosis Models for ROS-based Robot Systems</t>
  </si>
  <si>
    <t>Safdar Zaman and Gerald Steinbauer</t>
  </si>
  <si>
    <t>https://citeseerx.ist.psu.edu/document?repid=rep1&amp;type=pdf&amp;doi=819e400a1771d014a4006663c6b87a27f03aa05a#page=100</t>
  </si>
  <si>
    <t>altough its a follow-up it focues more on detection models than recovery</t>
  </si>
  <si>
    <t>Supervision of Hardware, Software and Behavior of Autonomous Industrial Transport Robots</t>
  </si>
  <si>
    <t xml:space="preserve">G. Steinbauer, S. Loigge and C. Mühlbacher, </t>
  </si>
  <si>
    <t>doi.org/10.1109/QRS-C.2016.44</t>
  </si>
  <si>
    <t>(follow-up) too short, no focus on software</t>
  </si>
  <si>
    <t>Fault Tolerant Robotics using Active Diagnosis of Partially Observable Systems and Optimized Path Planning for Underwater Message Ferrying</t>
  </si>
  <si>
    <t>Devon M. Webb</t>
  </si>
  <si>
    <t>http://hdl.lib.byu.edu/1877/etd12596</t>
  </si>
  <si>
    <t>On the application of structural analysis to fault diagnosis of a mobile robot</t>
  </si>
  <si>
    <t>G. K. Fourlas</t>
  </si>
  <si>
    <t>doi.org/10.1109/ROBIO.2014.7090340</t>
  </si>
  <si>
    <t>no recovery</t>
  </si>
  <si>
    <t>Safety verification for ROS software</t>
  </si>
  <si>
    <t>Santos, André Filipe Faria</t>
  </si>
  <si>
    <t>https://hdl.handle.net/1822/75537</t>
  </si>
  <si>
    <t>Design and Analysis of Jittering Mitigator for Robot Arm-Tip</t>
  </si>
  <si>
    <t>Shuyong Duan, Chunlu Li, Pengfei Xu, and Guirong Liu</t>
  </si>
  <si>
    <t>https://doi.org/10.1142/S0219876221500559</t>
  </si>
  <si>
    <t>Facilitating Reliable Autonomy with Human-Robot Interaction</t>
  </si>
  <si>
    <t>S Banerjee</t>
  </si>
  <si>
    <t>http://hdl.handle.net/1853/64758</t>
  </si>
  <si>
    <t>ROS-based diagnostic board for detecting and repairing hardware faults in autonomous mobile robots</t>
  </si>
  <si>
    <t>S. Zaman and P. Lepej,</t>
  </si>
  <si>
    <t>doi.org/10.1109/iCREATE.2014.6828347</t>
  </si>
  <si>
    <t>follow-up to primary 12 but there is 0 focus on software architecture, purely hardware.</t>
  </si>
  <si>
    <t>Generic ROS-Based Multirotor Architecture for Controller Testing in Indoor Environments</t>
  </si>
  <si>
    <t>A. W. Abouelainein, A. Ahmed, O. M. Shehata and E. I. Morgan,</t>
  </si>
  <si>
    <t>doi.org/10.1109/ICCMA51325.2020.9301494</t>
  </si>
  <si>
    <t>INTEGRACIÓN DE DISPOSITIVOS EN UN ROBOT QUIRÚRGICO TELEOPERADO MEDIANTE ROS</t>
  </si>
  <si>
    <t>E. Bauzano1 , A. Fernández-Iribar2 , M.C. López-Casado1 , J. Klein2 , A. Rentería2 , V.F. Muñoz-Martínez1</t>
  </si>
  <si>
    <t>https://www.ehu.eus/documents/3444171/4484745/115.pdf</t>
  </si>
  <si>
    <t>A Non-intrusive Fault Diagnosis System for Robotic Platforms</t>
  </si>
  <si>
    <t>Youssef Mahmoud Youssef1 and Paul G. Plöger</t>
  </si>
  <si>
    <t>https://ceur-ws.org/Vol-2289/paper20.pdf</t>
  </si>
  <si>
    <t>Remote Fault Diagnosis of Robots Using a Robotic Black Box</t>
  </si>
  <si>
    <t>Ahmad Drak1 and Youssef Youssef1 and Paul G. Plöger1 and Anastassia Kuestenmacher1</t>
  </si>
  <si>
    <t>https://www.researchgate.net/publication/317065837_Remote_Fault_Diagnosis_of_Robots_Using_a_Robotic_Black_Box</t>
  </si>
  <si>
    <t>Making Better Robots – Beiträge Österreichs zur Europäischen Robotics Research Roadmap</t>
  </si>
  <si>
    <t>Hofbaur, M., Müller, A., Piater, J. et al.</t>
  </si>
  <si>
    <t>https://doi.org/10.1007/s00502-015-0304-7</t>
  </si>
  <si>
    <t>Supervision of an Humanoid Robot</t>
  </si>
  <si>
    <t>Angarano, Giulia</t>
  </si>
  <si>
    <t>http://hdl.handle.net/2117/120457</t>
  </si>
  <si>
    <t>RoboCup Logistics League TDP Graz Robust and Intelligent Production System GRIPS</t>
  </si>
  <si>
    <t>Sarah Haas, Dino Keskic, Clemens Muhlbacher, ¨ Gerald Steinbauer, Thomas Ulz, Marco Wallner</t>
  </si>
  <si>
    <t>https://www.ais.uni-bonn.de/robocup.de/2016/TDPs/Logistics/RoboCup_2016_Logistics_TDP_GRIPS.pdf</t>
  </si>
  <si>
    <t>Model Based Fault Detection and Diagnosis for Robots</t>
  </si>
  <si>
    <t>E Khalastchi</t>
  </si>
  <si>
    <t>no link</t>
  </si>
  <si>
    <t>On Problematic Robotic Thresholds</t>
  </si>
  <si>
    <t xml:space="preserve">Taylor, Adam K. </t>
  </si>
  <si>
    <t>https://digitalcommons.unl.edu/computerscidiss/96/</t>
  </si>
  <si>
    <t>Trusting robots Contributions to dependable autonomous collaborative robotic systems</t>
  </si>
  <si>
    <t>Jérémie GUIOCHET</t>
  </si>
  <si>
    <t>https://www.researchgate.net/profile/Jeremie-Guiochet/publication/247640080_State_of_the_Art_on_Dependability_of_Autonomous_Systems/links/5774cdb608ae1b18a7de4a71/State-of-the-Art-on-Dependability-of-Autonomous-Systems.pdf</t>
  </si>
  <si>
    <t>Eliahu Khalastchi · Meir Kalech · Gal A. Kaminka · Raz Lin</t>
  </si>
  <si>
    <t>Contributions à la planification automatique pour la conduite de systèmes autonomes</t>
  </si>
  <si>
    <t>Damien Pellier</t>
  </si>
  <si>
    <t>https://hal.science/tel-01778171/document</t>
  </si>
  <si>
    <t>ЭЛЕМЕНТНАЯ БАЗА МАСШТАБИРУЕМЫХ ОТКАЗОУСТОЙЧИВЫХ СИСТЕМ УПРАВЛЕНИЯ РОБОТОВ</t>
  </si>
  <si>
    <t>Romanov A.M.</t>
  </si>
  <si>
    <t>https://elibrary.ru/efsfdl</t>
  </si>
  <si>
    <t>Current and future challenges in knowledge representation and reasoning</t>
  </si>
  <si>
    <t>James P. Delgrande, Birte Glimm, Thomas Meyer, Miroslaw Truszczynski, Frank Wolter</t>
  </si>
  <si>
    <t>https://doi.org/10.48550/arXiv.2308.04161</t>
  </si>
  <si>
    <t>Multi-Dimensional and Message-Guided Fuzzing for Robotic Programs in Robot Operating System</t>
  </si>
  <si>
    <t>Jia-Ju Bai, Hao-Xuan Song, Shi-Min Hu</t>
  </si>
  <si>
    <t>https://doi.org/10.1145/3620665.3640425</t>
  </si>
  <si>
    <t>An Empirical Study on Fault Diagnosis in Robotic Systems</t>
  </si>
  <si>
    <t>Xuezhi Song; Yi Li; Zhen Dong; Shuning Liu; Junming Cao; Xin Peng</t>
  </si>
  <si>
    <t>https://doi.org/10.1109/ICSME58846.2023.00030</t>
  </si>
  <si>
    <t>A Fail-Operational Control Architecture for Autonomous Mobile Robots Based on State Machine Replication</t>
  </si>
  <si>
    <t>Manuel Schrick; Jochen Kreutzfeldt</t>
  </si>
  <si>
    <t>https://doi.org/10.1109/IRC59093.2023.00042</t>
  </si>
  <si>
    <t>seen already in selection</t>
  </si>
  <si>
    <t>Onboard Mission-and Contingency Management based on Behavior Trees for Unmanned Aerial Vehicles</t>
  </si>
  <si>
    <t>Albi, Matteo</t>
  </si>
  <si>
    <t>https://urn.fi/URN:NBN:fi:aalto-202310156406</t>
  </si>
  <si>
    <t>Motion Planning for Urban Autonomous Bus Considering Localization Uncertainty Using Offset-free MPC</t>
  </si>
  <si>
    <t>Ara Jo; Woojin Kwon; Kyongsu Yi</t>
  </si>
  <si>
    <t>https://doi.org/10.1109/ACCESS.2024.3355205</t>
  </si>
  <si>
    <t>High-Integrity Urban Localization: Bringing Safety in Aviation to Autonomous Driving</t>
  </si>
  <si>
    <t>Gupta, Shubh</t>
  </si>
  <si>
    <t>https://purl.stanford.edu/hs838yq9876</t>
  </si>
  <si>
    <t>Engineering Trustworthy Self-Adaptive Software with Dynamic Assurance Cases</t>
  </si>
  <si>
    <t>R. Calinescu, D. Weyns, S. Gerasimou, M. U. Iftikhar, I. Habli and T. Kelly</t>
  </si>
  <si>
    <t>https://doi.org/10.1109/TSE.2017.2738640</t>
  </si>
  <si>
    <t>it seems they use UNDERSEA which is a robot, but its not really about that at all, just one of two examples.</t>
  </si>
  <si>
    <t>A Generated Property Specification Language for Resilient Multirobot Missions</t>
  </si>
  <si>
    <t>Swaib Dragule, Bart Meyers &amp; Patrizio Pelliccione</t>
  </si>
  <si>
    <t>https://doi.org/10.1007/978-3-319-65948-0_4</t>
  </si>
  <si>
    <t>I don't think we can say it is _self_ adaptive due to the declarative nature implying human-involvement at runtime</t>
  </si>
  <si>
    <t>Connecting conceptual models using relational reference attribute grammars</t>
  </si>
  <si>
    <t>René Schöne, Johannes Mey, Sebastian Ebert, and Uwe Aßmann</t>
  </si>
  <si>
    <t>https://doi.org/10.1145/3417990.3421437</t>
  </si>
  <si>
    <t>Variability management in a robotics software ecosystem based on dependency variability graphs for modeling, composing and resolving multi-dimensional variability spaces</t>
  </si>
  <si>
    <t>Blender, Timo</t>
  </si>
  <si>
    <t>http://dx.doi.org/10.18725/OPARU-48624</t>
  </si>
  <si>
    <t>A Model-Based Approach to Engineer Self-Adaptive Systems with Guarantees</t>
  </si>
  <si>
    <t>Iftikhar, Muhammad Usman</t>
  </si>
  <si>
    <t>https://urn.kb.se/resolve?urn=urn%3Anbn%3Ase%3Alnu%3Adiva-69136</t>
  </si>
  <si>
    <t>Programming Robots for Activities of Everyday Life</t>
  </si>
  <si>
    <t xml:space="preserve">Swaib, Dragule.  </t>
  </si>
  <si>
    <t>https://www.proquest.com/openview/7c8ac699698de70e3982af853cbdb929/1?casa_token=la3PYPhwWZMAAAAA:xDD6HIBI7l2Vs3sp-NcBrVhAdQYgvkzF3u6dd9-C55Piyf81WbnacuOtskAPLJLSnzGraOhswvA&amp;cbl=2026366&amp;diss=y&amp;pq-origsite=gscholar&amp;parentSessionId=iMFkH8Qd0UbETyjZilIBtRmVRfJxTB97xyrH%2FiIQf1E%3D</t>
  </si>
  <si>
    <t>QoS-aware resource and energy management for autonomous mobile</t>
  </si>
  <si>
    <t xml:space="preserve">Dinh Khanh Ho </t>
  </si>
  <si>
    <t>https://theses.hal.science/tel-03135081/</t>
  </si>
  <si>
    <t>Reactive Programming using Procedural Parameters
for End-User Development and Operations of Robot
Behavior Control</t>
  </si>
  <si>
    <t>Erich Floris Marc Arden</t>
  </si>
  <si>
    <t>https://tsukuba.repo.nii.ac.jp/record/46993/files/DA08751.pdf</t>
  </si>
  <si>
    <t>Toffa-Das: Design-Time Trade-Off Analysis for Dynamically Adaptable Software</t>
  </si>
  <si>
    <t>Carvalho, Michelle Larissa Luciano and Santos, Ismayle de Sousa and Masiero, Paulo Cesar and Januario, Tiago and de Almeida, Eduardo Santana and de Alcântara dos Santos Neto, Pedro and de Castro Andrade, Rossana Maria and Lopez-Herrejon, Roberto Erick,</t>
  </si>
  <si>
    <t>https://dx.doi.org/10.2139/ssrn.4098743</t>
  </si>
  <si>
    <t>pre-print not peer reviewed</t>
  </si>
  <si>
    <t>ToffA-DAS: an approach to conduct trade-off analysis for dynamically adaptable software</t>
  </si>
  <si>
    <t>Carvalho, Michelle Larissa Luciano</t>
  </si>
  <si>
    <t>https://repositorio.ufba.br/handle/ri/36787</t>
  </si>
  <si>
    <t>Shape sensing of deformable objects for robot manipulation</t>
  </si>
  <si>
    <t>Jose Manuel Sanchez Loza</t>
  </si>
  <si>
    <t>https://theses.hal.science/tel-02294752/</t>
  </si>
  <si>
    <t xml:space="preserve"> Reactive programming using procedural parameters for end-user development and operations of robot behavior control</t>
  </si>
  <si>
    <t>F Erich, M Arden</t>
  </si>
  <si>
    <t>Gestion des ressources et de l'énergie orientée qualité de service pour les systèmes robotiques mobiles autonomes</t>
  </si>
  <si>
    <t>DK Ho</t>
  </si>
  <si>
    <t>https://www.theses.fr/2020COAZ4000</t>
  </si>
  <si>
    <t>Robotics cyber security: vulnerabilities, attacks, countermeasures, and recommendations</t>
  </si>
  <si>
    <t>Yaacoub, JP.A., Noura, H.N., Salman, O. et al.</t>
  </si>
  <si>
    <t>https://doi.org/10.1007/s10207-021-00545-8</t>
  </si>
  <si>
    <t>An overview: on path planning optimization criteria and mobile robot navigation</t>
  </si>
  <si>
    <t>Anis Naema Atiyah1, Noraziah Adzhar1 and Nor Izzati Jaini1</t>
  </si>
  <si>
    <t>https://doi.org/10.1088/1742-6596/1988/1/012036</t>
  </si>
  <si>
    <t>Cybersecurity of Robotic Systems: Leading Challenges and Robotic System Design Methodology</t>
  </si>
  <si>
    <t>Dutta, V.; Zielińska, T</t>
  </si>
  <si>
    <t>https://doi.org/10.3390/electronics10222850</t>
  </si>
  <si>
    <t>ROZZ: Property-based Fuzzing for Robotic Programs in ROS</t>
  </si>
  <si>
    <t>Kai-Tao Xie; Jia-Ju Bai; Yong-Hao Zou; Yu-Ping Wang</t>
  </si>
  <si>
    <t>https://doi.org/10.1109/ICRA46639.2022.9811701</t>
  </si>
  <si>
    <t>software testing</t>
  </si>
  <si>
    <t>Cyber security of robots: A comprehensive survey</t>
  </si>
  <si>
    <t>Alessio Botta, Sayna Rotbei, Stefania Zinno, Giorgio Ventre</t>
  </si>
  <si>
    <t>https://doi.org/10.1016/j.iswa.2023.200237</t>
  </si>
  <si>
    <t>too new</t>
  </si>
  <si>
    <t>EcoDialTest: Adaptive Mutation Schedule for Automated Dialogue Systems Testing</t>
  </si>
  <si>
    <t>Xiangchen Shen; Haibo Chen; Jinfu Chen; Jiawei Zhang; Shuhui Wang</t>
  </si>
  <si>
    <t>https://doi.org/10.1109/SANER56733.2023.00113</t>
  </si>
  <si>
    <t>bandits</t>
  </si>
  <si>
    <t>Survey of air battery thermal management on the autonomous mobile robots</t>
  </si>
  <si>
    <t>Sevgi AYDIN, Kadri Süleyman YİĞİT, İsmail Hakkı SAVCI</t>
  </si>
  <si>
    <t>https://doi.org/10.2298/TSCI220805022A</t>
  </si>
  <si>
    <t>Quantitative impact analysis of application-level attacks on a robotic platform</t>
  </si>
  <si>
    <t>Khalil M. Ahmad Yousef, Anas AlMajali, Bassam J. Mohd and Salah Abu Ghalyon</t>
  </si>
  <si>
    <t>https://doi.org/10.1504/IJESDF.2022.123846</t>
  </si>
  <si>
    <t>paywalled</t>
  </si>
  <si>
    <t>Cyber Security of Robots: A Focused Survey</t>
  </si>
  <si>
    <t>Botta, Alessio and Zinno, Stefania and Rotbei, Sayna and Ventre, Giorgio, Cyber Security of Robots: A Focused Survey</t>
  </si>
  <si>
    <t>http://dx.doi.org/10.2139/ssrn.4201541</t>
  </si>
  <si>
    <t>Vibekananda Dutta 1,* and Teresa Zieli ´nsk</t>
  </si>
  <si>
    <t>Multi-objective genetic algorithm for mobile robot path planning in industrial automation</t>
  </si>
  <si>
    <t xml:space="preserve"> Suresh, K.S.a; * | Ravichandran, K.S.a | Venugopal, S</t>
  </si>
  <si>
    <t>https://doi.org/10.3233/JIFS-220886</t>
  </si>
  <si>
    <t>The internet of modular robotic things: Issues, limitations, challenges, &amp; solutions</t>
  </si>
  <si>
    <t>Jean-Paul A. Yaacoub, Hassan N. Noura, Benoit Piranda</t>
  </si>
  <si>
    <t>https://doi.org/10.1016/j.iot.2023.100886</t>
  </si>
  <si>
    <t>MBSNN: A multi-branch scalable neural network for resource-constrained IoT devices</t>
  </si>
  <si>
    <t>Haizhou Wang a c, Liying Li b, Yangguang Cui a c, Nuo Wang a, Fuke Shen a, Tongquan Wei</t>
  </si>
  <si>
    <t>https://doi.org/10.1016/j.sysarc.2023.102931</t>
  </si>
  <si>
    <t>Deep Learning of Sensor Data in Cybersecurity of Robotic Systems: Overview and Case Study Results</t>
  </si>
  <si>
    <t xml:space="preserve"> Wojciech Szynkiewicz,Ewa Niewiadomska-Szynkiewicz and Kamila Lis</t>
  </si>
  <si>
    <t>https://doi.org/10.3390/electronics12194146</t>
  </si>
  <si>
    <t>no mitigation</t>
  </si>
  <si>
    <t>Development and Control of Four-Wheel Independent Driving and Modular Steering Electric Vehicles for Improved Maneuverability Limits</t>
  </si>
  <si>
    <t>Haoguang Yang, Chen Liu, Jiongming Shi, Gangtie Zheng</t>
  </si>
  <si>
    <t>https://doi.org/10.4271/2019-01-0459</t>
  </si>
  <si>
    <t>Sensing and Sampling of Trace Contaminations by a Dexterous Hexrotor UAV at Nuclear Facilities-18600</t>
  </si>
  <si>
    <t>P Abbaraju, R Voyles</t>
  </si>
  <si>
    <t>https://web.ics.purdue.edu/~rvoyles/Pubs/Praveen.DexterousHexrotor.WM2018.pdf</t>
  </si>
  <si>
    <t>ASAP-CORPS: A Semi-Autonomous Platform for COntact-Rich Precision Surgery</t>
  </si>
  <si>
    <t>Mythra V Balakuntala, Glebys T Gonzalez, Juan P Wachs, Richard M Voyles</t>
  </si>
  <si>
    <t>https://doi.org/10.1093/milmed/usad175</t>
  </si>
  <si>
    <t>A Dynamic Threshold Segmentation Algorithm Based on Bidirectional Polynomial Fitting</t>
  </si>
  <si>
    <t>Yu Chengbo, Kong Qingda, Qian Zewen, Yu Yujie</t>
  </si>
  <si>
    <t>https://www.cqvip.com/qk/90393x/201603/668063580.html</t>
  </si>
  <si>
    <t>Design methodology for intelligent technical systems</t>
  </si>
  <si>
    <t>J Gausemeier, FJ Rammig, W Schäfer</t>
  </si>
  <si>
    <t>https://doi.org/10.1007/978-3-642-45435-6</t>
  </si>
  <si>
    <t>the citing chapter do not specifically concern robotics, rather a railcab</t>
  </si>
  <si>
    <t>Executing reconfigurations in hierarchical component architectures.</t>
  </si>
  <si>
    <t>Christian Heinzemann &amp; Steffen Becker 0001</t>
  </si>
  <si>
    <t>https://doi.org/10.1145/2465449.2465452</t>
  </si>
  <si>
    <t>seen in regular selection</t>
  </si>
  <si>
    <t>A discipline-spanning development process for self-adaptive mechatronic systems</t>
  </si>
  <si>
    <t>Christian Heinzemann, Oliver Sudmann, Wilhelm Schäfer, Matthias Tichy</t>
  </si>
  <si>
    <t>https://doi.org/10.1145/2486046.2486055</t>
  </si>
  <si>
    <t>Viewpoints and Views in Hardware Platform Modeling for Safe Deployment</t>
  </si>
  <si>
    <t>Uwe Pohlmann, Matthias Meyer, Andreas Dann, Christopher Brink</t>
  </si>
  <si>
    <t>https://doi.org/10.1145/2631675.2631682</t>
  </si>
  <si>
    <t>Development of Self-optimizing Systems</t>
  </si>
  <si>
    <t xml:space="preserve">Jürgen Gausemeier, Sebastian Korf, Mario Porrmann, Katharina Stahl, Oliver Sudmann &amp; Mareen Vaßholz </t>
  </si>
  <si>
    <t>https://doi.org/10.1007/978-3-642-45435-6_3</t>
  </si>
  <si>
    <t>dismissed the book already, this is a chapter</t>
  </si>
  <si>
    <t>Mode switch handling for the ProCom component model</t>
  </si>
  <si>
    <t>Hang Yin, Hongwan Qin, Jan Carlson, Hans Hansson</t>
  </si>
  <si>
    <t>https://doi.org/10.1145/2465449.2465451</t>
  </si>
  <si>
    <t>Translating MECHATRONICUML Models to MATLAB/Simulink and Stateflow</t>
  </si>
  <si>
    <t>Christian Heinzemann, Jan Rieke, Jana Bröggelwirth, Andrey Pines, Andreas Volk</t>
  </si>
  <si>
    <t>https://www.researchgate.net/profile/Christian-Heinzemann/publication/260616810_Translating_MechatronicUML_Models_to_MATLABSimulink_and_Stateflow/links/02e7e537c7549a5347000000/Translating-MechatronicUML-Models-to-MATLAB-Simulink-and-Stateflow.pdf</t>
  </si>
  <si>
    <t>Towards transactional self-adaptation for AUTOSAR on the example of a collision detection system</t>
  </si>
  <si>
    <t>Berger, Christian; Tichy, Matthias</t>
  </si>
  <si>
    <t>https://dl.gi.de/items/0e51a3e5-fb07-4ea6-8e1d-aab8b9e4b878</t>
  </si>
  <si>
    <t>Safe deployment for reconfigurable cyber-physical systems</t>
  </si>
  <si>
    <t>Uwe Pohlmann</t>
  </si>
  <si>
    <t>https://doi.org/10.1145/2465498.2465503</t>
  </si>
  <si>
    <t>doc. symp</t>
  </si>
  <si>
    <t>Component Story Decision Diagrams</t>
  </si>
  <si>
    <t>Christian Heinzemann</t>
  </si>
  <si>
    <t>https://www.researchgate.net/profile/Christian-Heinzemann/publication/260228453_Component_Story_Decision_Diagrams/links/00b7d5303bbf3b233d000000/Component-Story-Decision-Diagrams.pdf</t>
  </si>
  <si>
    <t>On the fly reconfiguration of interactive scientific visualization applications</t>
  </si>
  <si>
    <t>Abderrahim Ait Wakrime; Sébastien Limet; Sophie Robert</t>
  </si>
  <si>
    <t>https://doi.org/10.1109/HPCSim.2015.7237078</t>
  </si>
  <si>
    <t>Towards mining informal online data to guide component-reuse decisions</t>
  </si>
  <si>
    <t>Sanchit Karve, Christopher Scaffidi</t>
  </si>
  <si>
    <t>https://doi.org/10.1145/2465449.2465459</t>
  </si>
  <si>
    <t>Introducing Mode Switch in Component-Based Software Development</t>
  </si>
  <si>
    <t>Yin, Hang</t>
  </si>
  <si>
    <t>https://www.diva-portal.org/smash/record.jsf?pid=diva2%3A848116&amp;dswid=4544</t>
  </si>
  <si>
    <t>Une approche par composants pour l'analyse visuelle interactive de résultats issus de simulations numériques</t>
  </si>
  <si>
    <t>Abderrahim Ait Wakrime</t>
  </si>
  <si>
    <t>https://theses.hal.science/tel-01282770/</t>
  </si>
  <si>
    <t>Methods for the Design and Development</t>
  </si>
  <si>
    <t xml:space="preserve">Anacker, H. et al. </t>
  </si>
  <si>
    <t>https://doi.org/10.1007/978-3-642-45435-6_5</t>
  </si>
  <si>
    <t>Mode switch for component-based multi-mode systems</t>
  </si>
  <si>
    <t>https://www.diva-portal.org/smash/record.jsf?pid=diva2%3A570023&amp;dswid=2001</t>
  </si>
  <si>
    <t>Réseaux FIFO Colorés Stricts pour la formalisation des applications de visualisation scientifique interactives</t>
  </si>
  <si>
    <t>Abderrahim Ait Wakrime (1) , Sébastien Limet (1) , Sophie Robert (1)</t>
  </si>
  <si>
    <t>https://hal.science/hal-00979716/</t>
  </si>
  <si>
    <t>A literature review on optimization techniques for adaptation planning in adaptive systems: State of the art and research directions</t>
  </si>
  <si>
    <t>Elia Henrichs, Veronika Lesch, Martin Straesser, Samuel Kounev, Christian Krupitzer</t>
  </si>
  <si>
    <t>https://doi.org/10.1016/j.infsof.2022.106940</t>
  </si>
  <si>
    <t>Evaluation of Software Architectures under Uncertainty: A Systematic Literature Review</t>
  </si>
  <si>
    <t xml:space="preserve"> Dalia Sobhy, Rami Bahsoon, Leandro Minku, Rick Kazman</t>
  </si>
  <si>
    <t>https://doi.org/10.1145/3464305</t>
  </si>
  <si>
    <t>A systematic review on the engineering of software for ubiquitous systems</t>
  </si>
  <si>
    <t>Alejandro Sánchez Guinea, Grégory Nain, Yves Le Traon</t>
  </si>
  <si>
    <t>https://doi.org/10.1016/j.jss.2016.05.024</t>
  </si>
  <si>
    <t>Self-Adaptation in Mobile Apps: a Systematic Literature Study</t>
  </si>
  <si>
    <t>Eoin Martino Grua; Ivano Malavolta; Patricia Lago</t>
  </si>
  <si>
    <t>https://doi.org/10.1109/SEAMS.2019.00016</t>
  </si>
  <si>
    <t>A Comprehensive Technological Survey on the Dependable Self-Management CPS: From Self-Adaptive Architecture to Self-Management Strategies</t>
  </si>
  <si>
    <t>Zhou, P.; Zuo, D.; Hou, K.M.; Zhang, Z.; Dong, J.; Li, J.; Zhou, H.</t>
  </si>
  <si>
    <t>https://doi.org/10.3390/s19051033</t>
  </si>
  <si>
    <t>Towards Proactive Decentralized Adaptation of Unmanned Aerial Vehicles for Wildfire Tracking</t>
  </si>
  <si>
    <t>Enrique Vilchez, Javier Troya, Javier Camara</t>
  </si>
  <si>
    <t>https://doi.org/10.1145/3643915.3644081</t>
  </si>
  <si>
    <t>Run-time evaluation of architectures: A case study of diversification in IoT</t>
  </si>
  <si>
    <t>Sobhy et al</t>
  </si>
  <si>
    <t>https://doi.org/10.1016/j.jss.2019.110428</t>
  </si>
  <si>
    <t>seen in selection</t>
  </si>
  <si>
    <t>Reliable proactive adaptation via prediction fusion and extended stochastic model predictive control</t>
  </si>
  <si>
    <t>Chen, Li, Li, Jiao</t>
  </si>
  <si>
    <t>https://doi.org/10.1016/j.jss.2024.112166</t>
  </si>
  <si>
    <t>Continuous and Proactive Software Architecture Evaluation: An IoT Case</t>
  </si>
  <si>
    <t>https://doi.org/10.1145/3492762</t>
  </si>
  <si>
    <t>Beyond Words: On Large Language Models Actionability in Mission-Critical Risk Analysis</t>
  </si>
  <si>
    <t>Matteo Esposito, Francesco Palagiano, Valentina Lenarduzzi, Davide Taibi</t>
  </si>
  <si>
    <t>https://doi.org/10.48550/arXiv.2406.10273</t>
  </si>
  <si>
    <t>seems to be peer-reviewed, just not yet published</t>
  </si>
  <si>
    <t>Online Prediction and Improvement of Reliability for Service Oriented Systems</t>
  </si>
  <si>
    <t>Zuohua Ding; Ting Xu; Tiantian Ye; Yuan Zhou</t>
  </si>
  <si>
    <t>https://doi.org/10.1109/TR.2015.2504720</t>
  </si>
  <si>
    <t>A Proactive Self-Adaptation Approach for Software Systems based on Environment-Aware Model Predictive Control</t>
  </si>
  <si>
    <t>Zhengyin Chen; Wenpin Jiao</t>
  </si>
  <si>
    <t>https://doi.org/10.1109/QRS57517.2022.00103</t>
  </si>
  <si>
    <t>Technique for Early Reliability Prediction of Software Components Using Behaviour Model</t>
  </si>
  <si>
    <t>Awad Ali ,Dayang N. A. Jawawi,Mohd Adham Isa,Muhammad Imran Babar</t>
  </si>
  <si>
    <t>https://doi.org/10.1371/journal.pone.0163346</t>
  </si>
  <si>
    <t>Design-Time Reliability Prediction Model for Component-Based Software Systems</t>
  </si>
  <si>
    <t>Ali, A.; Bashir, M.B.; Hassan, A.; Hamza, R.; Alqhtani, S.M.; Tawfeeg, T.M.; Yousif, A.</t>
  </si>
  <si>
    <t>https://doi.org/10.3390/s22072812</t>
  </si>
  <si>
    <t>Leveraging Large Language Models for Preliminary Security Risk Analysis: A Mission-Critical Case Study</t>
  </si>
  <si>
    <t>Matteo Esposito and Francesco Palagiano</t>
  </si>
  <si>
    <t>https://arxiv.org/pdf/2403.15756</t>
  </si>
  <si>
    <t>A Novel QoS and Energy-aware Self-adaptive System Architecture for Efficient Resource Management in an Edge Computing Environment</t>
  </si>
  <si>
    <t>Abdullah Fawaz Aljulayf and Karim Djemame</t>
  </si>
  <si>
    <t>https://www.researchgate.net/profile/Dr-Vijay-Singh-2/publication/340951179_proceedings/links/5ea70fb145851553fab34b07/proceedings.pdf#page=46</t>
  </si>
  <si>
    <t>A proactive approach for context-aware self-adaptive mobile applications to ensure Quality of Service</t>
  </si>
  <si>
    <t>Md. Shafiuzzaman; Nadia Nahar; Md. Rayhanur Rahman</t>
  </si>
  <si>
    <t>https://doi.org/10.1109/ICCITechn.2015.7488131</t>
  </si>
  <si>
    <t>Fault-Prevention in Smart Environments for Dependable Applications</t>
  </si>
  <si>
    <t>Ehsan Ullah Warriach; Tanir Ozcelebi; Johan J. Lukkien</t>
  </si>
  <si>
    <t>https://doi.org/10.1109/SASO.2014.35</t>
  </si>
  <si>
    <t>A Comparison of Predictive Algorithms for Failure Prevention in Smart Environment Applications</t>
  </si>
  <si>
    <t>https://doi.org/10.1109/IE.2015.13</t>
  </si>
  <si>
    <t>Online reliability prediction of service composition</t>
  </si>
  <si>
    <t>Zuohua Ding, Ting Xu, Mei-Hwa Chen</t>
  </si>
  <si>
    <t>https://doi.org/10.1145/2627508.2627509</t>
  </si>
  <si>
    <t>The Future of E-Health is Mobile: Combining AI and Self-Adaptation to Create Adaptive E-Health Mobile Applications</t>
  </si>
  <si>
    <t>Eoin Martino Grua</t>
  </si>
  <si>
    <t>https://hdl.handle.net/1871.1/6aec4091-0136-47f6-a320-8c652a7bdeeb</t>
  </si>
  <si>
    <t>Engineering Smart Software Services for Intelligent Pervasive Systems</t>
  </si>
  <si>
    <t>SANCHEZ GUINEA, Alejandro</t>
  </si>
  <si>
    <t>https://hdl.handle.net/10993/36613</t>
  </si>
  <si>
    <t>A Novel Design of Master Control Syetem for Induced Polarization Logging Instrument</t>
  </si>
  <si>
    <t>Huang Zhen; Zhang Pu; Zhou Kaibo; Kong Li; Zeng Huaxiu</t>
  </si>
  <si>
    <t>https://doi.org/10.1109/iCECE.2010.51</t>
  </si>
  <si>
    <t>STRATEGY FOR SCALABLE SCENARIOS MODELING AND CALCULATION IN EARLY SOFTWARE RELIABILITY ENGINEERING</t>
  </si>
  <si>
    <t>Ali, Jawawi, Isa</t>
  </si>
  <si>
    <t>https://doi.org/10.11113/jt.v77.6200</t>
  </si>
  <si>
    <t>A Novel Model to Computational Offloading on Autonomic Managers: a Mobile Test Bed</t>
  </si>
  <si>
    <t>G. A. Borges, R. R. de Oliveira, T. C. Ferreto and C. F. R. Geyer</t>
  </si>
  <si>
    <t>https://doi.org/10.1109/HPCS.2018.00040</t>
  </si>
  <si>
    <t>An Empirical Study of the Interplay between Architecture and Software Quality using Evolutionary History of Software</t>
  </si>
  <si>
    <t>Kouroshfar Ehsan</t>
  </si>
  <si>
    <t>https://www.proquest.com/openview/68d293abd707218d638a3040b893679a/1/index</t>
  </si>
  <si>
    <t>looks like it, features analagous to components</t>
  </si>
  <si>
    <t>similar to other works we selected by the author</t>
  </si>
  <si>
    <t>only an approach but still fine</t>
  </si>
  <si>
    <t>Energy-aware configuration and coordination of control-software for robotics</t>
  </si>
  <si>
    <t>X Zhang</t>
  </si>
  <si>
    <t>https://purl.utwente.nl/essays/88761</t>
  </si>
  <si>
    <t>Self-adaptive systems: A systematic literature review across categories and domains</t>
  </si>
  <si>
    <t>Terence Wong, Markus Wagner, Christoph Treude</t>
  </si>
  <si>
    <t>https://doi.org/10.1016/j.infsof.2022.106934</t>
  </si>
  <si>
    <t>A Survey on Cyber-Resilience Approaches for Cyber-Physical Systems</t>
  </si>
  <si>
    <t>Mariana Segovia-Ferreira, Jose Rubio-Hernan, Ana Cavalli, Joaquin Garcia-Alfaro</t>
  </si>
  <si>
    <t>https://doi.org/10.1145/3652953</t>
  </si>
  <si>
    <t>dupe on google scholar</t>
  </si>
  <si>
    <t>A model-based mode-switching framework based on security vulnerability scores</t>
  </si>
  <si>
    <t>Michael Riegler, Johannes Sametinger, Michael Vierhauser, Manuel Wimmer</t>
  </si>
  <si>
    <t>https://doi.org/10.1016/j.jss.2023.111633</t>
  </si>
  <si>
    <t>Resilience Measure and Formation Reconfiguration Optimization for Multi-UAV Systems</t>
  </si>
  <si>
    <t>Feng et al.</t>
  </si>
  <si>
    <t>https://doi.org/10.1109/JIOT.2023.3326552</t>
  </si>
  <si>
    <t>Resilience Quantification for Probabilistic Design of Cyber-Physical System Networks</t>
  </si>
  <si>
    <t>Yan Wang</t>
  </si>
  <si>
    <t>https://doi.org/10.1115/1.4039148</t>
  </si>
  <si>
    <t>Resilience and performance quantification of dynamic reconfiguration</t>
  </si>
  <si>
    <t xml:space="preserve">Sarah Alhozaimy, Daniel A. Menascé, Massimiliano Albanese </t>
  </si>
  <si>
    <t>https://doi.org/10.1016/j.future.2024.05.040</t>
  </si>
  <si>
    <t>CHARIOT: Goal-Driven Orchestration Middleware for Resilient IoT Systems</t>
  </si>
  <si>
    <t>SUBHAV PRADHAN, ABHISHEK DUBEY, SHWETA KHARE, SAIDEEP NANNAPANENI, ANIRUDDHA GOKHALE, SANKARAN MAHADEVAN, and DOUGLAS C. SCHMIDT, Martin LEHOFER</t>
  </si>
  <si>
    <t>https://doi.org/10.1145/3134844</t>
  </si>
  <si>
    <t>extension, but no longer claiming any relation to robotics</t>
  </si>
  <si>
    <t>A Systematic Disturbance Analysis Method for Resilience Evaluation: A Case Study in Material Handling Systems</t>
  </si>
  <si>
    <t>Ruiying Li, Xiaoyu Tian, Li Yu and Rui Kang</t>
  </si>
  <si>
    <t>A Model-Integrated Approach to Designing Self-Protecting Systems.</t>
  </si>
  <si>
    <t>Stefano Iannucci &amp; Sherif Abdelwahed &amp; Andrea Montemaggio &amp; Melissa Hannis &amp; Leslie Leonard &amp; Jason S. King &amp; John Hamilton</t>
  </si>
  <si>
    <t>https://doi.org/10.1109/TSE.2018.2880218</t>
  </si>
  <si>
    <t>Resilience of Well-structured Graph Transformation Systems</t>
  </si>
  <si>
    <t xml:space="preserve">Okan Özkan, Nick Würdemann </t>
  </si>
  <si>
    <t>https://doi.org/10.48550/arXiv.2108.00889</t>
  </si>
  <si>
    <t>Resilience at the Edge in Cyber-Physical Systems</t>
  </si>
  <si>
    <t>Abhishek Dubey; Gabor Karsai; Subhav Pradhan</t>
  </si>
  <si>
    <t>https://doi.org/10.1109/FMEC.2017.7946421</t>
  </si>
  <si>
    <t>A Methodology for Automating Assurance Case Generation</t>
  </si>
  <si>
    <t>Shreyas Ramakrishna, Charles Hartsell, Abhishek Dubey, Partha Pal, Gabor Karsai</t>
  </si>
  <si>
    <t>https://doi.org/10.48550/arXiv.2003.05388</t>
  </si>
  <si>
    <t xml:space="preserve">An Eigenvalue Problem for the Analysis of Variable Topology Mechanical Systems </t>
  </si>
  <si>
    <t>József Kövecses, Josep M. Font-Llagunes</t>
  </si>
  <si>
    <t>https://doi.org/10.1115/1.3124784</t>
  </si>
  <si>
    <t>GoalD: A Goal-Driven deployment framework for dynamic and heterogeneous computing environments</t>
  </si>
  <si>
    <t>Gabriel S. Rodrigues, Felipe P. Guimarães, Genaína N. Rodrigues, Alessia Knauss, João Paulo C. de Araújoa, Hugo Andradec, Raian Ali</t>
  </si>
  <si>
    <t>https://doi.org/10.1016/j.infsof.2019.04.003</t>
  </si>
  <si>
    <t>Metrics-Driven Evaluation of Cybersecurity for Critical Railway Infrastructure</t>
  </si>
  <si>
    <t>Himanshu Neema; Bradley Potteiger; Xenofon Koutsoukos; CheeYee Tang; Keith Stouffer</t>
  </si>
  <si>
    <t>https://doi.org/10.1109/RWEEK.2018.8473542</t>
  </si>
  <si>
    <t>From Validation of Medical Devices towards Validation of Adaptive Cyber-Physical Systems</t>
  </si>
  <si>
    <t>Jože Tavčara, Jože Duhovnika, and Imre Horváth</t>
  </si>
  <si>
    <t>https://doi.org/10.3233/JID190008</t>
  </si>
  <si>
    <t>Improving System-of-Systems Agility through Dynamic Reconfiguration</t>
  </si>
  <si>
    <t>Zhemei Fang; Jingjing Liao; Xiaozhou Zhou</t>
  </si>
  <si>
    <t>https://doi.org/10.1109/SMC42975.2020.9283236</t>
  </si>
  <si>
    <t>Parametric Mass Estimating Relationships for Earth Imaging Monolithic and Fractionated Spacecraft</t>
  </si>
  <si>
    <t>M. Gregory O’Neill</t>
  </si>
  <si>
    <t>http://dx.doi.org/10.2514/1.A33983</t>
  </si>
  <si>
    <t>Towards an Adaptive Multi-Modal Traffic Analytics Framework at the Edge</t>
  </si>
  <si>
    <t>Geoffrey Pettet; Saroj Sahoo; Abhishek Dubey</t>
  </si>
  <si>
    <t>https://doi.org/10.1109/PERCOMW.2019.8730577</t>
  </si>
  <si>
    <t>Designing a Resilient Deployment and Reconfiguration Infrastructure for Remotely Managed Cyber-Physical Systems</t>
  </si>
  <si>
    <t>Pradhan, S., Dubey, A., Gokhale, A.</t>
  </si>
  <si>
    <t>https://doi.org/10.1007/978-3-319-45892-2_7</t>
  </si>
  <si>
    <t>insufficient focus on a singular system</t>
  </si>
  <si>
    <t>A dependable, prognostics-incorporated, N-S modular battery reconfiguration scheme with an application to electric aircraft</t>
  </si>
  <si>
    <t>Timothy Potteiger; Winston Strayhorn; Kenneth R. Pence; Gabor Karsai</t>
  </si>
  <si>
    <t>https://doi.org/10.1109/DASC.2017.8102033</t>
  </si>
  <si>
    <t>hardware</t>
  </si>
  <si>
    <t>The Role of Context and Resilient Middleware in Next Generation Smart Grids</t>
  </si>
  <si>
    <t>Abhishek Dubey, Subhav Pradhan, and Douglas C. Schmidt, Sebnem Rusitschka, and Monika Sturm</t>
  </si>
  <si>
    <t>http://dx.doi.org/10.1145/3008631.3008632</t>
  </si>
  <si>
    <t>EVALUATING RESILIENCE OF CYBER-PHYSICAL-SOCIAL SYSTEMSUSING GRAPHICAL SECURITY MODELS AND TIMED COLOUREDPETRI NETS</t>
  </si>
  <si>
    <t>SHABNAM PASANDIDEH</t>
  </si>
  <si>
    <t>https://core.ac.uk/download/pdf/570973345.pdf</t>
  </si>
  <si>
    <t>Self-Protection Through Dynamic Reconfigurations</t>
  </si>
  <si>
    <t>Alhozaimy, Sarah Abdulrahman</t>
  </si>
  <si>
    <t>https://www.proquest.com/openview/683061cf4d48c1aa320b2fc3a59ef6c3/</t>
  </si>
  <si>
    <t>Strategies for Improving Cyber Resilience of Data-Intensive Business Information Systems</t>
  </si>
  <si>
    <t>Unny R Balakrishnan, Gaurav Mishra, Nityesh Bhatt</t>
  </si>
  <si>
    <t>https://www.taylorfrancis.com/chapters/edit/10.1201/9780429468254-12/strategies-improving-cyber-resilience-data-intensive-business-information-systems-unny-balakrishnan-gaurav-mishra-nityesh-bhatt</t>
  </si>
  <si>
    <t>Transportation Networks</t>
  </si>
  <si>
    <t>Gabor Karsai, Xenofon Koutsoukos, Himanshu Neema, Peter Volgyesi &amp; Janos Sztipanovits</t>
  </si>
  <si>
    <t>https://doi.org/10.1007/978-3-319-77492-3_18</t>
  </si>
  <si>
    <t>HOW CAN A SMART CYBER-PHYSICAL SYSTEM VALIDATE ITS RUN-TIME ADAPTATION ACTIONS BEFORE AND AFTER EXECUTING THEM?</t>
  </si>
  <si>
    <t>Joze Tavcar, Imre Horvath</t>
  </si>
  <si>
    <t>https://tmce.io.tudelft.nl/pages/2020/proceedings/TMCE2020-ESS-VCS-2.pdf</t>
  </si>
  <si>
    <t>system is just an example, exploratory paper, not an approach really</t>
  </si>
  <si>
    <t>Mobilytics- An Extensible, Modular and Resilient Mobility Platform</t>
  </si>
  <si>
    <t>Chinmaya Samal; Abhishek Dubey; Lillian Ratliff</t>
  </si>
  <si>
    <t>https://doi.org/10.1109/SMARTCOMP.2018.00029</t>
  </si>
  <si>
    <t>Adaptive and reconfigurable software systems and architectures</t>
  </si>
  <si>
    <t>Slim Kallel, Ismail Bouassida Rodruigez, Khalil Drira</t>
  </si>
  <si>
    <t>https://doi.org/10.1016/j.jss.2016.09.011</t>
  </si>
  <si>
    <t>not a paper</t>
  </si>
  <si>
    <t>Cyber-resilience and attack tolerance for cyber-physical systems</t>
  </si>
  <si>
    <t>Mariana Segovia-Ferreira</t>
  </si>
  <si>
    <t>https://theses.hal.science/tel-03881707/</t>
  </si>
  <si>
    <t>Sistema de auto-configuração resiliente baseado na arquitetura CPS-5C</t>
  </si>
  <si>
    <t>Sotillo, Manuel Leonardo Simosa</t>
  </si>
  <si>
    <t>http://repositorio.furg.br/handle/1/8740</t>
  </si>
  <si>
    <t>I5 - After 2011</t>
  </si>
  <si>
    <t>E5 - Year</t>
  </si>
  <si>
    <t>Software architectures for robotic systems: a systematic mapping study</t>
  </si>
  <si>
    <t>Ahmad, M.A., A., Babar</t>
  </si>
  <si>
    <t>https://doi.org/10.1016/j.jss.2016.08.039</t>
  </si>
  <si>
    <t>Architecture-based runtime software evolution</t>
  </si>
  <si>
    <t>Oreizy, R.N., P., Medvidovic, N., Taylor</t>
  </si>
  <si>
    <t>https://doi.org/10.1109/icse.1998.671114</t>
  </si>
  <si>
    <t>Rainbow: architecture-based self-adaptation with reusable infrastructure</t>
  </si>
  <si>
    <t>Garlan, P., D., Cheng, S., Huang, A., Schmerl, B., Steenkiste</t>
  </si>
  <si>
    <t>https://doi.org/10.1109/MC.2004.175</t>
  </si>
  <si>
    <t>Implementation and evaluation of a microthread architecture</t>
  </si>
  <si>
    <t>Bousias, M., K., Guang, L., Jesshope, C., Lankamp</t>
  </si>
  <si>
    <t>https://doi.org/10.1016/j.sysarc.2008.07.001</t>
  </si>
  <si>
    <t>Resource allocation robustness in multi-core embedded systems with inaccurate information</t>
  </si>
  <si>
    <t>Li, T., J., Ming, Z., Qiu, M., Quan, G., Qin, X., Chen</t>
  </si>
  <si>
    <t>https://doi.org/10.1016/j.sysarc.2011.03.005</t>
  </si>
  <si>
    <t>Dynamic hinting: Collaborative real-time resource management for reactive embedded systems</t>
  </si>
  <si>
    <t>Banauch, M.</t>
  </si>
  <si>
    <t>https://doi.org/10.1016/j.sysarc.2011.07.001</t>
  </si>
  <si>
    <t>Open-architecture system based on a reconfigurable hardware–software multi-agent platform for CNC machines</t>
  </si>
  <si>
    <t>Morales-Velazquez, E., L., de Jesus, R., Troncoso, Romero, Osornio-Rios, R.A., Herrera-Ruiz, G., Cabal-Yepez</t>
  </si>
  <si>
    <t>https://doi.org/10.1016/j.sysarc.2010.04.009</t>
  </si>
  <si>
    <t>Parallel Robots</t>
  </si>
  <si>
    <t>Merlet, J.-P.</t>
  </si>
  <si>
    <t>https://doi.org/10.1007/978-94-010-9587-7</t>
  </si>
  <si>
    <t>Parallel kinematic structures of the sfb 562</t>
  </si>
  <si>
    <t>Schⁿtz, J., D., Budde, C., Raatz, A., Hesselbach</t>
  </si>
  <si>
    <t>https://doi.org/10.1007/978-3-642-16785-0_7</t>
  </si>
  <si>
    <t>The vision of autonomic computing</t>
  </si>
  <si>
    <t>Kephart, D.M., J.O., Chess</t>
  </si>
  <si>
    <t>https://doi.org/10.1109/MC.2003.1160055</t>
  </si>
  <si>
    <t>Autonomic Computing: Concepts, Infrastructure, and Applications</t>
  </si>
  <si>
    <t>Wolf, T., T.D., Holvoet</t>
  </si>
  <si>
    <t>https://doi.org/10.1201/9781420009354</t>
  </si>
  <si>
    <t>Organic computing - addressing complexity by controlled selforganization</t>
  </si>
  <si>
    <t>Branke, H., J., Mnif, M., Mnller-Schloer, C., Prothmann, H., Richter, U., Rochner, F., Schmeck</t>
  </si>
  <si>
    <t>https://doi.org/10.1109/isola.2006.19</t>
  </si>
  <si>
    <t>Organic computing: on the feasibility of controlled emergence</t>
  </si>
  <si>
    <t>M\"{u}ller-Schloer, C.</t>
  </si>
  <si>
    <t>https://doi.org/10.1145/1016720.1016724</t>
  </si>
  <si>
    <t>Compliance and force control for computer controlled manipulators</t>
  </si>
  <si>
    <t>Mason, M.T.</t>
  </si>
  <si>
    <t>https://doi.org/10.1109/tsmc.1981.4308708</t>
  </si>
  <si>
    <t>Compliant robot motion I: A formalism for specifying compliant motion task</t>
  </si>
  <si>
    <t>de Schutter, H., J., Brussel</t>
  </si>
  <si>
    <t>https://doi.org/10.1177/027836498800700401</t>
  </si>
  <si>
    <t>A model-based manipulation system with skill-based execution</t>
  </si>
  <si>
    <t>Hasegawa, K., T., Suehiro, T., Takase</t>
  </si>
  <si>
    <t>https://doi.org/10.1109/70.163779</t>
  </si>
  <si>
    <t>Error-tolerant execution of complex robot tasks based on skill primitives</t>
  </si>
  <si>
    <t>Thomas, F.M., U., Finkemeyer, B., Kr÷ger, T., Wahl</t>
  </si>
  <si>
    <t>https://doi.org/10.1109/robot.2003.1242062</t>
  </si>
  <si>
    <t>A task frame formalism for practical implementations</t>
  </si>
  <si>
    <t>Krger, F.M., T., Finkemeyer, B., Wahl</t>
  </si>
  <si>
    <t>https://doi.org/10.1109/ROBOT.2004.1302546</t>
  </si>
  <si>
    <t>Rca562: control architecture for parallel kinematic robots</t>
  </si>
  <si>
    <t>Dietrich, J., F., Maa, J., Raatz, A., Hesselbach</t>
  </si>
  <si>
    <t>https://doi.org/10.1007/978-3-642-16785-0_18</t>
  </si>
  <si>
    <t>Towards a new concept of robot programming in high speed assembly applications</t>
  </si>
  <si>
    <t>Thomas, F.M., U., Maa, J., Hesselbach, J., Wahl</t>
  </si>
  <si>
    <t>https://doi.org/10.1109/iros.2005.1545582</t>
  </si>
  <si>
    <t>Manipulation primitives: a universal interface between sensor-based motion control and robot programming</t>
  </si>
  <si>
    <t>Kr÷ger, F.M., T., Finkemeyer, B., Wahl</t>
  </si>
  <si>
    <t>https://doi.org/10.1007/978-3-642-16785-0_17</t>
  </si>
  <si>
    <t>UML for real: design of embedded real-time systems, Architectural patterns for real-time systems</t>
  </si>
  <si>
    <t>Selic, B.</t>
  </si>
  <si>
    <t>https://doi.org/10.1007/0-306-48738-1_8</t>
  </si>
  <si>
    <t>Flexible signal-oriented hardware abstraction for rapid prototyping of robotic systems</t>
  </si>
  <si>
    <t>Jorg, G., S., Nickl, M., Hirzinger</t>
  </si>
  <si>
    <t>https://doi.org/10.1109/iros.2006.281759</t>
  </si>
  <si>
    <t>Miro-middleware for mobile robot applications</t>
  </si>
  <si>
    <t>Utz, G., H., Sablatnog, S., Enderle, S., Kraetzschmar</t>
  </si>
  <si>
    <t>https://doi.org/10.1109/TRA.2002.802930</t>
  </si>
  <si>
    <t>Configuration switching for workspace enlargement</t>
  </si>
  <si>
    <t>Budde, J., C., Helm, M., Last, P., Raatz, A., Hesselbach</t>
  </si>
  <si>
    <t>https://doi.org/10.1007/978-3-642-16785-0_11</t>
  </si>
  <si>
    <t>Universal communication architecture for high-dynamic robot systems using qnx</t>
  </si>
  <si>
    <t>Kohn, U., N., Varchmin, J.-U., Steiner, J., Goltz</t>
  </si>
  <si>
    <t>https://doi.org/10.1109/icarcv.2004.1468823</t>
  </si>
  <si>
    <t>A communication architecture for distributed real-time robot control</t>
  </si>
  <si>
    <t>Dadji, J.U., Y., Michalik, H., Kohn, N., Steiner, J., Beckmann, G., M÷glich, T., Varchmin</t>
  </si>
  <si>
    <t>https://doi.org/10.1007/978-3-642-16785-0_13</t>
  </si>
  <si>
    <t>Runtime analysis and adaptation of a hard realtime robotic control system</t>
  </si>
  <si>
    <t>Steiner, U., J., Hagner, M., Goltz</t>
  </si>
  <si>
    <t>https://doi.org/10.4304/jcp.2.10.18-27</t>
  </si>
  <si>
    <t>System level performance analysis - the symta/s approach</t>
  </si>
  <si>
    <t>Henia, R., R., Hamann, A., Jersak, M., Racu, R., Richter, K., Ernst</t>
  </si>
  <si>
    <t>https://doi.org/10.1049/ip-cdt:20045088</t>
  </si>
  <si>
    <t>An efficient heuristic procedure for partitioning graphs, Bell Syst</t>
  </si>
  <si>
    <t>Kernighan, S., B., Lin</t>
  </si>
  <si>
    <t>https://doi.org/10.1002/j.1538-7305.1970.tb01770.x</t>
  </si>
  <si>
    <t>Calibration of parallel kinematic structures - overview, classification and comparison</t>
  </si>
  <si>
    <t>Last, J., P., Raatz, A., Hesselbach</t>
  </si>
  <si>
    <t>https://doi.org/10.1007/978-3-642-16785-0_6</t>
  </si>
  <si>
    <t>Detection and avoidance of singularities in parallel kinematic machines</t>
  </si>
  <si>
    <t>Dietrich, J., F., Maa, J., Bier, C., Pietsch, I., Raatz, A., Hesselbach</t>
  </si>
  <si>
    <t>https://doi.org/10.1007/978-3-642-16785-0_5</t>
  </si>
  <si>
    <t>Robust gain scheduling for smart-structures in parallel robots</t>
  </si>
  <si>
    <t>Algermissen, M., S., Sinapius</t>
  </si>
  <si>
    <t>https://doi.org/10.1007/978-3-642-16785-0_10</t>
  </si>
  <si>
    <t>A Modeling Framework for Software Architecture Specification and Validation</t>
  </si>
  <si>
    <t>Gobillot, D., N., Lesire, C., Doose</t>
  </si>
  <si>
    <t>https://doi.org/10.1007/978-3-319-11900-7_26</t>
  </si>
  <si>
    <t>Robotics software frameworks for multiagent robotic systems development</t>
  </si>
  <si>
    <t>Iigo-Blasco, , P., Rio, F. D., Romero-Ternero, M. C., CagigasMuiz, D., Vicente-Diaz, S.,</t>
  </si>
  <si>
    <t>https://doi.org/10.1016/j.robot.2012.02.004</t>
  </si>
  <si>
    <t>Realtime Hybrid Task-Based Control for Robots and Machine Tools</t>
  </si>
  <si>
    <t>Soetens, H., P., Bruyninckx</t>
  </si>
  <si>
    <t>https://doi.org/10.1109/ROBOT.2005.1570129</t>
  </si>
  <si>
    <t>Measurement-based real-time analysis of robotic software architectures</t>
  </si>
  <si>
    <t>Gobillot, L., N., Guet, F., Doose, D., Grand, C., Lesire, C., Santinelli</t>
  </si>
  <si>
    <t>https://doi.org/10.1109/IROS.2016.7759509</t>
  </si>
  <si>
    <t>final selection Ivano</t>
  </si>
  <si>
    <t>Design Abstraction and Processes in Robotics: From Code-Driven to Model-Driven Engineering</t>
  </si>
  <si>
    <t>Schlegel, A., C., Steck, A., Brugali, D., Knoll</t>
  </si>
  <si>
    <t>https://doi.org/10.1007/978-3-642-17319-6_31</t>
  </si>
  <si>
    <t>Periodic statemachine aware real-time analysis</t>
  </si>
  <si>
    <t>Gobillot, L., N., Doose, D., Lesire, C., Santinelli</t>
  </si>
  <si>
    <t>https://doi.org/10.1109/etfa.2015.7301403</t>
  </si>
  <si>
    <t>Priority inheritance protocols: An approach to real-time synchronization</t>
  </si>
  <si>
    <t>Sha, R., L., Rajkumar</t>
  </si>
  <si>
    <t>https://doi.org/10.1109/12.57058</t>
  </si>
  <si>
    <t>Safety–Critical Computer Systems</t>
  </si>
  <si>
    <t>Storey, Computer, N., Safety-Critical</t>
  </si>
  <si>
    <t>https://dl.acm.org/doi/abs/10.5555/524721</t>
  </si>
  <si>
    <t>Towards a methodology for engineering self-organising emergent systems</t>
  </si>
  <si>
    <t>https://www.researchgate.net/publication/221436256_Towards_a_Methodology_for_Engineering_Self-Organising_Emergent_Systems</t>
  </si>
  <si>
    <t>A design methodology for self-optimizing systems, in: Contributions to the sixth Braunschweig Conference of Automation, Assistance and Embedded Real Time Platforms for Transportation - Air-planes, Vehicles</t>
  </si>
  <si>
    <t>Gausemeier, M., J., Frank, U., Giese, H., Klein, F., Schmidt, A., Steffen, D., Tichy</t>
  </si>
  <si>
    <t>https://www.hpi.uni-potsdam.de/giese/misc/publications/AAET05.pdf</t>
  </si>
  <si>
    <t>Towards a model-driven software engineering methodology for organic computing systems</t>
  </si>
  <si>
    <t>Kasinger, B., H., Bauer</t>
  </si>
  <si>
    <t>https://www.researchgate.net/profile/Bernhard-Bauer-4/publication/220939878_Towards_a_Model-Driven_Software_Engineering_Methodology_for_Organic_Computing_Systems/links/0912f51470ee87966f000000/Towards-a-Model-Driven-Software-Engineering-Methodology-for-Organic-Computing-Systems.pdf</t>
  </si>
  <si>
    <t>Potenziale und Risiken der Selbstoptimierung fnr die VerlSsslichkeit mechatronischer Systeme, in: 5</t>
  </si>
  <si>
    <t>Frank, H., U., Giese, H., Mnller, T., Oberthnr, S., Romaus, C., Tichy, M., Vcking</t>
  </si>
  <si>
    <t>https://ei.uni-paderborn.de/fileadmin/elektrotechnik/fg/lea/Forschung/Publikationen/2007/07HNI-Frank-Giese-Romaus-Mueller-Oberthuer.pdf</t>
  </si>
  <si>
    <t>A robot control architecture based on an object server, in: IASTED International Conference Robotics and Manufacturing (RM)</t>
  </si>
  <si>
    <t>Finkemeyer, F., B., Borchard, M., Wahl</t>
  </si>
  <si>
    <t>https://www.rob.cs.tu-bs.de/node/1179</t>
  </si>
  <si>
    <t>Compliant motion programming: the task frame formalism revisited</t>
  </si>
  <si>
    <t>Krger, F.M., T., Finkemeyer, B., Thomas, U., Wahl</t>
  </si>
  <si>
    <t>couldn't find it</t>
  </si>
  <si>
    <t>A versatile robot control architecture for sensor integrated assembly</t>
  </si>
  <si>
    <t>Maa, W., J., Reisinger, T., Hesselbach, J., Schumacher</t>
  </si>
  <si>
    <t>https://www.tib.eu/de/suchen/id/BLCP:CN060074433/A-versatile-modular-robot-control-architecture?cHash=79f6958fae6a1b0fb045b04634ea8ce5</t>
  </si>
  <si>
    <t>Ein beitrag zur steuerungstechnik fnr parallelkinematische roboter in der montage</t>
  </si>
  <si>
    <t>Maa, J.H.</t>
  </si>
  <si>
    <t>https://www.eurobuch.com/buch/isbn/9783802783050.html</t>
  </si>
  <si>
    <t>Robotersteuerungsarchitektur auf der Basis von Aktionsprimitiven</t>
  </si>
  <si>
    <t>Finkemeyer, B.</t>
  </si>
  <si>
    <t>https://www.shaker.de/de/content/catalogue/index.asp?lang=de&amp;ID=8&amp;ISBN=978-3-8322-2893-4&amp;search=yes</t>
  </si>
  <si>
    <t>ORCA: components for robotics</t>
  </si>
  <si>
    <t>Brooks, A., A., Kaupp, T., Makarenko</t>
  </si>
  <si>
    <t>https://orca-robotics.sourceforge.net/</t>
  </si>
  <si>
    <t>The Player Project</t>
  </si>
  <si>
    <t>The, Player</t>
  </si>
  <si>
    <t>playerstage.sourceforge.net</t>
  </si>
  <si>
    <t>Available at: &lt;http:</t>
  </si>
  <si>
    <t>NASA, Jan., Jpl, Internet-Ressource</t>
  </si>
  <si>
    <t>claraty.jpl.nasa.gov</t>
  </si>
  <si>
    <t>Mobile and autonomous robotics integration environment</t>
  </si>
  <si>
    <t>C⌠tΘ, C.</t>
  </si>
  <si>
    <t>marie.sourceforge.net</t>
  </si>
  <si>
    <t>Middleware for robotic and process control applications, in: Workshop on Measures and Procedures for the Evaluation of Robot Architectures and Middleware</t>
  </si>
  <si>
    <t>Finkemeyer, MiRPA, B., Krger, T., Kubus, D., Olschewski, M., Wahl, F.M.</t>
  </si>
  <si>
    <t>https://www.researchgate.net/profile/Daniel-Kubus/publication/228371987_MiRPA_Middleware_for_robotic_and_process_control_applications/links/00b49529ecdb633b4f000000/MiRPA-Middleware-for-robotic-and-process-control-applications.pdf</t>
  </si>
  <si>
    <t>OROCOS - open source robot control software, Available at: &lt;http:</t>
  </si>
  <si>
    <t>Bruyninckx, H. E.</t>
  </si>
  <si>
    <t>orocos.org</t>
  </si>
  <si>
    <t>The OSACA Project Consortium, Open system architecture for controls within automation systems, Available at: &lt;http:</t>
  </si>
  <si>
    <t>www.osaca.org</t>
  </si>
  <si>
    <t>Modular controller architecture version 2, Internet-Ressource, abteilung Interaktive Diagnose- und Servicesysteme</t>
  </si>
  <si>
    <t>Karlsruhe, FZI</t>
  </si>
  <si>
    <t>human-competitive.org</t>
  </si>
  <si>
    <t>Open modular robot control architecture for assembly using the task frame formalism</t>
  </si>
  <si>
    <t>Maa, J., J., Kohn, N., Hesselbach</t>
  </si>
  <si>
    <t>https://doi.org/10.5772/5763</t>
  </si>
  <si>
    <t>Adaptive components for parallel robots</t>
  </si>
  <si>
    <t>Keimer, F.M., R., Sinapius, M., Schntz, D., Raatz, A., Wahl (</t>
  </si>
  <si>
    <t>???</t>
  </si>
  <si>
    <t>Robot control based on skill primitives</t>
  </si>
  <si>
    <t>Kolbus, J., M., Reisinger, T., Maa</t>
  </si>
  <si>
    <t>https://www.actapress.com/PaperInfo.aspx?PaperID=23004&amp;reason=500</t>
  </si>
  <si>
    <t>Direct singularity avoidance strategy for the hexa parallel robot, in: 18th International Congress of Mechanical Engineering (COBEM 2005)</t>
  </si>
  <si>
    <t>Bier, E., C., Maa, J., Campos, A., Queiroz</t>
  </si>
  <si>
    <t>https://abcm.org.br/symposium-series/SSM_Vol2/antigos/Section_III_Robotics/SSM2_I_24.pdf</t>
  </si>
  <si>
    <t>Elements of Reusable Object-Oriented Software</t>
  </si>
  <si>
    <t>Gamma, Design, E., Helm, R., Johnson, R., Vlissides, J., Patterns</t>
  </si>
  <si>
    <t>https://www.amazon.com/Design-Patterns-Elements-Reusable-Object-Oriented/dp/0201633612</t>
  </si>
  <si>
    <t>Engineering selfmanagement into a robot control system</t>
  </si>
  <si>
    <t>Steiner, M., J., Amado, A., Goltz, U., Hagner, M., Huhn</t>
  </si>
  <si>
    <t>n/a</t>
  </si>
  <si>
    <t>Self-management in a control architecture for parallel kinematic robots</t>
  </si>
  <si>
    <t>Maa, A., J., Steiner, J., Amado, A., Hesselbach, J., Huhn, M., Raatz</t>
  </si>
  <si>
    <t>https://doi.org/10.1115/DETC2008-49881</t>
  </si>
  <si>
    <t>3, 9, 11, 13, 16</t>
  </si>
  <si>
    <t>ROS: an open-source Robot Operating System</t>
  </si>
  <si>
    <t>Quigley, A., M., Conley, K., Gerkey, B., Faust, J., Foote, T., Leibs, J., Berger, E., Wheeler, R., Mg</t>
  </si>
  <si>
    <t>http://robotics.stanford.edu/~ang/papers/icraoss09-ROS.pdf</t>
  </si>
  <si>
    <t>Cyber-physical systems: a perspective at the centennial</t>
  </si>
  <si>
    <t>Kim, P.R., B.K., Kumar</t>
  </si>
  <si>
    <t>https://doi.org/10.1109/jproc.2012.2189792</t>
  </si>
  <si>
    <t>Challenges in engineering for software-intensive embedded systems, Model-Based Engineering of Embedded Systems</t>
  </si>
  <si>
    <t>Beetz, M., K., B÷hm, W., Pohl, K., H÷nninger, H., Achatz, R., Broy</t>
  </si>
  <si>
    <t>https://doi.org/10.1007/978-3-642-34614-9_1</t>
  </si>
  <si>
    <t>A taxonomy of uncertainty for dynamically adaptive systems</t>
  </si>
  <si>
    <t>Ramirez, B.H., A.J., Jensen, A.C., Cheng</t>
  </si>
  <si>
    <t>https://doi.org/10.1109/seams.2012.6224396</t>
  </si>
  <si>
    <t>5, 40</t>
  </si>
  <si>
    <t>Stitch: a language for architecture-based self-adaptation</t>
  </si>
  <si>
    <t>Cheng, B., S.-W., Garlan, D., Schmerl</t>
  </si>
  <si>
    <t>https://doi.org/10.1016/j.jss.2012.02.060</t>
  </si>
  <si>
    <t>ActivFORMS: active formal models for self-adaptation</t>
  </si>
  <si>
    <t>Iftikhar, D., M.U., Weyns</t>
  </si>
  <si>
    <t>https://doi.org/10.1145/2593929.2593944</t>
  </si>
  <si>
    <t>FORMS: a formal reference model for self-adaptation</t>
  </si>
  <si>
    <t>Weyns, J., D., Malek, S., Andersson</t>
  </si>
  <si>
    <t>https://doi.org/10.1145/1809049.1809078</t>
  </si>
  <si>
    <t>Using architecture models for runtime adaptability</t>
  </si>
  <si>
    <t>Floch, E., J., Hallsteinsen, S., Stav, E., Eliassen, F., Lund, K., Gjorven</t>
  </si>
  <si>
    <t>https://doi.org/10.1109/MS.2006.61</t>
  </si>
  <si>
    <t>Engineering self-adaptive systems through feedback loops, Self-adaptive Systems</t>
  </si>
  <si>
    <t>Brun, J., Y., Cheng, B.H., Lemos, R., Giese, H., Inverardi, P., Magee</t>
  </si>
  <si>
    <t>https://doi.org/10.1007/978-3-642-02161-9_3</t>
  </si>
  <si>
    <t>Meta-adaptation strategies for adaptation in cyber-physical systems, (eds.) ECSA 2015</t>
  </si>
  <si>
    <t>Gerostathopoulos, I., I., Bures, T., Hnetynka, P., Hujecek, A., Plasil, F., Skoda, D., Mirandola, D., Crnkovic, R.</t>
  </si>
  <si>
    <t>https://doi.org/10.1007/978-3-319-23727-5_4</t>
  </si>
  <si>
    <t>final selection Elvin</t>
  </si>
  <si>
    <t>A goal-based modeling approach to develop requirements of an adaptive system with environmental uncertainty, (eds.) MODELS 2009</t>
  </si>
  <si>
    <t>Cheng, B., B.H.C., Sawyer, P., Bencomo, N., Whittle, J., Schⁿrr, A., Selic</t>
  </si>
  <si>
    <t>https://doi.org/10.1007/978-3-642-04425-0_36</t>
  </si>
  <si>
    <t>: ôSelf-healingö: softening precision to avoid brittleness</t>
  </si>
  <si>
    <t>Shaw, M.</t>
  </si>
  <si>
    <t>https://doi.org/10.1145/582128.582152</t>
  </si>
  <si>
    <t>DEECo - an ensemble-based component system</t>
  </si>
  <si>
    <t>Bures, F., T., Gerostathopoulos, I., Hnetynka, P., Keznikl, J., Kit, M., Plasil</t>
  </si>
  <si>
    <t>https://doi.org/10.1145/2465449.2465462</t>
  </si>
  <si>
    <t>Engineering of software-intensive systems: state of the art and research challenges, Software-Intensive Systems</t>
  </si>
  <si>
    <t>H÷lzl, A., M., Rauschmayer, A., Wirsing, M., Wirsing, M., BanΓtre, J.-P., H÷lzl, M., Rauschmayer</t>
  </si>
  <si>
    <t>https://doi.org/10.1007/978-3-540-89437-7_1</t>
  </si>
  <si>
    <t>Towards flexible evolution of dynamically adaptive systems</t>
  </si>
  <si>
    <t>Perrouin, J.-M., G., Morin, B., Chauvel, F., Fleurey, F., Klein, J., Traon, Y.L., Barais, O., Jezequel</t>
  </si>
  <si>
    <t>https://doi.org/10.1109/icse.2012.6227081</t>
  </si>
  <si>
    <t>Architectural hoisting</t>
  </si>
  <si>
    <t>Fairbanks, G.</t>
  </si>
  <si>
    <t>https://doi.org/10.1109/MS.2014.82</t>
  </si>
  <si>
    <t>Software engineering for self-adaptive systems: a research roadmap</t>
  </si>
  <si>
    <t>Cheng, J., B.H.C., de Lemos, R., Giese, H., Inverardi, P., Magee</t>
  </si>
  <si>
    <t>https://doi.org/10.4230/DagSemProc.08031.2</t>
  </si>
  <si>
    <t>Relaxing claims: coping with uncertainty while evaluating assumptions at run time, (eds.) MODELS 2012</t>
  </si>
  <si>
    <t>Ramirez, C., A.J., Cheng, B.H., Bencomo, N., Sawyer, P., Kazmeier, R.B., Breu, J., Atkinson, R.</t>
  </si>
  <si>
    <t>https://doi.org/10.1007/978-3-642-33666-9_5</t>
  </si>
  <si>
    <t>ACon: a learning-based approach to deal with uncertainty in contextual requirements at runtime</t>
  </si>
  <si>
    <t>Knauss, A., A., Damian, D., Franch, X., Rook, A., Mⁿller, H.A., Thomo</t>
  </si>
  <si>
    <t>https://doi.org/10.1016/j.infsof.2015.10.001</t>
  </si>
  <si>
    <t>FUSION: a framework for engineering self-tuning self-adaptive software systems</t>
  </si>
  <si>
    <t>Elkhodary, S., A., Esfahani, N., Malek</t>
  </si>
  <si>
    <t>https://doi.org/10.1145/1882291.1882296</t>
  </si>
  <si>
    <t>DYNAMICO: a reference model for governing control objectives and context relevance in self-adaptive software systems, Self-adaptive Systems</t>
  </si>
  <si>
    <t>Villegas, M., N.M., Tamura, G., Mⁿller, H.A., Duchien, L., Casallas, R., Lemos, R., Giese, H., Mⁿller, H.A., Shaw</t>
  </si>
  <si>
    <t>https://doi.org/10.1007/978-3-642-35813-5_11</t>
  </si>
  <si>
    <t>Specifying real-time properties with metric temporal logic</t>
  </si>
  <si>
    <t>Koymans, R.</t>
  </si>
  <si>
    <t>https://doi.org/10.1007/BF01995674</t>
  </si>
  <si>
    <t>Processing flows of information: From data stream to complex event processing</t>
  </si>
  <si>
    <t>Cugola, A., G., Margara</t>
  </si>
  <si>
    <t>https://doi.org/10.1145/2187671.2187677</t>
  </si>
  <si>
    <t>SECRET: a model for analysis of the execution semantics of stream processing systems</t>
  </si>
  <si>
    <t>Botan, N., I., Derakhshan, R., Dindar, N., Haas, L., Miller, R. J., Tatbul</t>
  </si>
  <si>
    <t>https://doi.org/10.14778/1920841.1920874</t>
  </si>
  <si>
    <t>LARS: A logic-based framework for analyzing reasoning over streams</t>
  </si>
  <si>
    <t>Unknown</t>
  </si>
  <si>
    <t>https://doi.org/10.1609/aaai.v29i1.9408</t>
  </si>
  <si>
    <t>Semantically-enabled sensor plug &amp; play for the sensor web</t>
  </si>
  <si>
    <t>Bro, Malewski, A., ring, P., Maue┤, K., Janowicz, D., Nu, C.</t>
  </si>
  <si>
    <t>https://doi.org/10.3390/s110807568</t>
  </si>
  <si>
    <t>The SSN ontology of the W3C semantic sensor network incubator group</t>
  </si>
  <si>
    <t>al, M. Compton et</t>
  </si>
  <si>
    <t>https://doi.org/10.1016/j.websem.2012.05.003</t>
  </si>
  <si>
    <t>A survey of automated web service composition methods</t>
  </si>
  <si>
    <t>Rao, X., J., Su</t>
  </si>
  <si>
    <t>https://doi.org/10.1007/978-3-540-30581-1_5</t>
  </si>
  <si>
    <t>A survey on web services composition</t>
  </si>
  <si>
    <t>Dustdar, W., S., Schreiner</t>
  </si>
  <si>
    <t>https://doi.org/10.1504/IJWGS.2005.007545</t>
  </si>
  <si>
    <t>Automated synthesis of multirobot task solutions through software reconfiguration,ö in Robotics and Automation</t>
  </si>
  <si>
    <t>Tang, L., F., Parker</t>
  </si>
  <si>
    <t>https://doi.org/10.1109/robot.2005.1570327</t>
  </si>
  <si>
    <t>Autonomous functional configuration of a network robot system</t>
  </si>
  <si>
    <t>Lundh, A., R., Karlsson, L., Saffiotti</t>
  </si>
  <si>
    <t>https://doi.org/10.1016/j.robot.2008.06.006</t>
  </si>
  <si>
    <t>The PEIS-ecology project: vision and results</t>
  </si>
  <si>
    <t>Saffiotti, Y.-J., A., Broxvall, M., Gritti, M., LeBlanc, K., Lundh, R., Rashid, J., Seo, B., Cho</t>
  </si>
  <si>
    <t>https://doi.org/10.1109/iros.2008.4650962</t>
  </si>
  <si>
    <t>The Semantic Web</t>
  </si>
  <si>
    <t>Berners-Lee, O., T., Hendler, J., Lassila</t>
  </si>
  <si>
    <t>https://doi.org/10.1038/scientificamerican0501-34</t>
  </si>
  <si>
    <t>A spatial logic based on regions and connection</t>
  </si>
  <si>
    <t>Randell, A., D., Cui, Z., Cohn</t>
  </si>
  <si>
    <t>https://www.researchgate.net/publication/221393453_A_Spatial_Logic_based_on_Regions_and_Connection</t>
  </si>
  <si>
    <t>DyKnow: An approach to middleware for knowledge processing</t>
  </si>
  <si>
    <t>Heintz, P., F., Doherty</t>
  </si>
  <si>
    <t>https://content.iospress.com/articles/journal-of-intelligent-and-fuzzy-systems/ifs00220</t>
  </si>
  <si>
    <t>A stream-based knowledge processing middleware framework</t>
  </si>
  <si>
    <t>Heintz, F.</t>
  </si>
  <si>
    <t>https://www.diva-portal.org/smash/record.jsf?pid=diva2%3A159661&amp;dswid=7690</t>
  </si>
  <si>
    <t>Towards a logic-based framework for analyzing stream reasoning</t>
  </si>
  <si>
    <t>Beck, M., H., Dao-Tran, M., Eiter, T., Fink</t>
  </si>
  <si>
    <t>https://www.researchgate.net/publication/269465047_Towards_a_Logic-Based_Framework_for_Analyzing_Stream_Reasoning</t>
  </si>
  <si>
    <t>Semantic challenges for sensor plug and play</t>
  </si>
  <si>
    <t>A. Broring, Kuhn, K., Janowicz, C., Stasch, W.</t>
  </si>
  <si>
    <t>https://doi.org/10.1007/978-3-642-10601-9_6</t>
  </si>
  <si>
    <t>OWL-S: Semantic markup for web services</t>
  </si>
  <si>
    <t>Martin, , D.</t>
  </si>
  <si>
    <t>https://www.w3.org/Submission/2004/SUBM-OWL-S-20041122/</t>
  </si>
  <si>
    <t>Web service composition methods: A survey</t>
  </si>
  <si>
    <t>Pejman, A., E., Rastegari, Y., Esfahani, P. M., Salajegheh</t>
  </si>
  <si>
    <t>https://www.iaeng.org/publication/IMECS2012/IMECS2012_pp603-607.pdf</t>
  </si>
  <si>
    <t>Robots that help each other: Self-configuration of distributed robot systems</t>
  </si>
  <si>
    <t>Lundh, R.</t>
  </si>
  <si>
    <t>https://www.diva-portal.org/smash/record.jsf?pid=diva2%3A214200&amp;dswid=4727</t>
  </si>
  <si>
    <t>Planning for temporally extended goals</t>
  </si>
  <si>
    <t>Bacchus, F., F., Kabanza</t>
  </si>
  <si>
    <t>https://cdn.aaai.org/AAAI/1996/AAAI96-180.pdf</t>
  </si>
  <si>
    <t>https://doi.org/10.1023/A:1018985923441</t>
  </si>
  <si>
    <t>Emergency response to the nuclear accident at the fukushima daiichi nuclear power plants using mobile rescue robots</t>
  </si>
  <si>
    <t>Nagatani, S., K., Kiribayashi, S., Okada, Y., Otake, K., Yoshida, K., Tadokoro, S., Nishimura, T., Yoshida, T., Koyanagi, E., Fukushima, M., Kawatsuma</t>
  </si>
  <si>
    <t>https://doi.org/10.1002/rob.21439</t>
  </si>
  <si>
    <t>Follow-up analysis of mobile robot failures,ö in Robotics and Automation, 2004</t>
  </si>
  <si>
    <t>Carlson, A., J., Murphy, R., Nelson</t>
  </si>
  <si>
    <t>https://doi.org/10.1109/robot.2004.1302508</t>
  </si>
  <si>
    <t>Software health management with bayesian networks</t>
  </si>
  <si>
    <t>Schumann, A., J., Mbaya, T., Mengshoel, O., Pipatsrisawat, K., Srivastava, A., Choi, A., Darwiche</t>
  </si>
  <si>
    <t>https://doi.org/10.1007/s11334-013-0214-y</t>
  </si>
  <si>
    <t>Fault detection and isolation in cooperative mobile robots using multilayer architecture and dynamic observers</t>
  </si>
  <si>
    <t>Carrasco, A., R. a., Nu, F., Cipriano</t>
  </si>
  <si>
    <t>https://doi.org/10.1017/S0263574710000457</t>
  </si>
  <si>
    <t>Coalescent multi-robot teaming through asymtre: a formal analysis, ICAR '05</t>
  </si>
  <si>
    <t>https://doi.org/10.1109/icar.2005.1507502</t>
  </si>
  <si>
    <t>Design of dynamically reconfigurable real-time software using port-based objects,ö Software Engineering</t>
  </si>
  <si>
    <t>Stewart, P., D., Volpe, R., Khosla</t>
  </si>
  <si>
    <t>https://doi.org/10.1109/32.637390</t>
  </si>
  <si>
    <t>Robust architectures for embedded wireless network control and actuation,ö ACM Trans</t>
  </si>
  <si>
    <t>Pajic, R., M., Chernoguzov, A., Mangharam</t>
  </si>
  <si>
    <t>https://doi.org/10.1145/2362336.2362349</t>
  </si>
  <si>
    <t>Mobile robot connectivity maintenance based on rf mapping</t>
  </si>
  <si>
    <t>Ayad, 2013, M., Zhang, J., Voyles, R., Mahoor, M., Nov</t>
  </si>
  <si>
    <t>https://doi.org/10.1109/iros.2013.6696840</t>
  </si>
  <si>
    <t>8, 16</t>
  </si>
  <si>
    <t>A heterogeneous modules interconnection architecture for fpga-based partial dynamic reconfiguration,ö in Reconfigurable Communication-centric Systems-on-Chip (ReCoSoC), 2012 7th International Workshop on</t>
  </si>
  <si>
    <t>He, R., M., Cui, Y., Mahoor, M., Voyles</t>
  </si>
  <si>
    <t>https://doi.org/10.1109/recosoc.2012.6322887</t>
  </si>
  <si>
    <t>this is moreso about one piece of the puzzle of the above work, but not applied within a robotic  system yet.</t>
  </si>
  <si>
    <t>Alliance: an architecture for fault tolerant multirobot cooperation,ö Robotics and Automation</t>
  </si>
  <si>
    <t>Parker, L.</t>
  </si>
  <si>
    <t>https://doi.org/10.1109/70.681242</t>
  </si>
  <si>
    <t>Self-managed systems: an architectural challenge</t>
  </si>
  <si>
    <t>Kramer, 2007, J., Magee, J., May</t>
  </si>
  <si>
    <t>https://doi.org/10.1109/FOSE.2007.19</t>
  </si>
  <si>
    <t>Policy-based self-adaptive architectures: A feasibility study in the robotics domain,</t>
  </si>
  <si>
    <t>Georgas, R. N., J. C., Taylor</t>
  </si>
  <si>
    <t>https://doi.org/10.1145/1370018.1370038</t>
  </si>
  <si>
    <t>Scylla: a smart virtual machine for mobile embedded systems,ö in Mobile Computing Systems and Applications, 2000 Third IEEE Workshop on</t>
  </si>
  <si>
    <t>Stanley-Marbell, L., P., Iftode</t>
  </si>
  <si>
    <t>https://doi.org/10.1109/mcsa.2000.895380</t>
  </si>
  <si>
    <t>A tiny virtual machine for sensor networks,ö SIGOPS Oper</t>
  </si>
  <si>
    <t>Levis, D., P., Culler</t>
  </si>
  <si>
    <t>https://doi.org/10.1145/635508.605407</t>
  </si>
  <si>
    <t>Terminatorbot: A novel robot with dual-use mechanism for locomotion and manipulation</t>
  </si>
  <si>
    <t>Voyles, A. C., R. M., Larson</t>
  </si>
  <si>
    <t>https://doi.org/10.1109/TMECH.2004.842245</t>
  </si>
  <si>
    <t>Velodyne LiDAR PUCK TM</t>
  </si>
  <si>
    <t>Autonomous, Stuf</t>
  </si>
  <si>
    <t>irrelevant</t>
  </si>
  <si>
    <t>Model-driven synthesis of formally precise, stylized software architectures,ö Formal Asp</t>
  </si>
  <si>
    <t>Bagheri, K. J., H., Sullivan</t>
  </si>
  <si>
    <t>https://doi.org/10.1007/s00165-016-0360-8</t>
  </si>
  <si>
    <t>Contributions to localization, mapping and navigation in mobile robotics</t>
  </si>
  <si>
    <t>Blanco, J.-L.</t>
  </si>
  <si>
    <t>https://core.ac.uk/download/pdf/62905126.pdf</t>
  </si>
  <si>
    <t>Synthesis and quantitative verification of tradeof spaces for families of software systems,ö in Software Architecture - 11th European Conference, ECSA, ser</t>
  </si>
  <si>
    <t>Camara, B. R., J., Garlan, D., Schmerl</t>
  </si>
  <si>
    <t>https://doi.org/10.1007/978-3-319-65831-5_1</t>
  </si>
  <si>
    <t>MOSAICO: ofline synthesis of adaptation strategy repertoires with flexible trade-ofs</t>
  </si>
  <si>
    <t>Camara, D., J., Schmerl, B. R., Moreno, G. A., Garlan</t>
  </si>
  <si>
    <t>https://doi.org/10.1007/s10515-018-0234-9</t>
  </si>
  <si>
    <t>Software engineering for self-adaptive systems: A second research roadmap,ö in Software Engineering for Self-Adaptive Systems II - International Seminar</t>
  </si>
  <si>
    <t>Lemos</t>
  </si>
  <si>
    <t>https://doi.org/10.1007/978-3-642-35813-5_1</t>
  </si>
  <si>
    <t>KLD-sampling: Adaptive particle filters</t>
  </si>
  <si>
    <t>Fox, D.</t>
  </si>
  <si>
    <t>https://proceedings.neurips.cc/paper_files/paper/2001/file/c5b2cebf15b205503560c4e8e6d1ea78-Paper.pdf</t>
  </si>
  <si>
    <t>Gazebosim</t>
  </si>
  <si>
    <t>-</t>
  </si>
  <si>
    <t>gazebosim.org</t>
  </si>
  <si>
    <t>not a paper.</t>
  </si>
  <si>
    <t>Planning as model checking</t>
  </si>
  <si>
    <t>Giunchiglia, P., F., Traverso</t>
  </si>
  <si>
    <t>https://doi.org/10.1007/10720246_1</t>
  </si>
  <si>
    <t>Views and Viewpoints in Software Systems Architecture</t>
  </si>
  <si>
    <t>Hilliard, R.</t>
  </si>
  <si>
    <t>http://web.mit.edu/richh/www/writings/hilliard99-ifip.pdf</t>
  </si>
  <si>
    <t>A survey of autonomic computing - degrees, models, and applications</t>
  </si>
  <si>
    <t>https://doi.org/10.1145/1380584.1380585</t>
  </si>
  <si>
    <t>Stochastic model checking</t>
  </si>
  <si>
    <t>Kwiatkowska, D., M. Z., Norman, G., Parker</t>
  </si>
  <si>
    <t>https://doi.org/10.1007/978-3-540-72522-0_6</t>
  </si>
  <si>
    <t>Verification of probabilistic real-time systems</t>
  </si>
  <si>
    <t>https://doi.org/10.1007/978-3-642-22110-1_47</t>
  </si>
  <si>
    <t>An Interactive Approach for Situated Task Specification through Verbal Instructions</t>
  </si>
  <si>
    <t>Mericli, M., C., Klee, S., Paparian, J., Veloso</t>
  </si>
  <si>
    <t>https://dl.acm.org/doi/10.5555/2615731.2617416</t>
  </si>
  <si>
    <t>Move_base - ROS Wiki,ö Retrieved on Jan</t>
  </si>
  <si>
    <t>http://wiki.ros.org/move_base</t>
  </si>
  <si>
    <t>Universal plans for reactive robots in unpredictable environments</t>
  </si>
  <si>
    <t>Schoppers, Kaufmann, M., Morgan</t>
  </si>
  <si>
    <t>https://citeseerx.ist.psu.edu/document?repid=rep1&amp;type=pdf&amp;doi=7f8b8255ee8fb30bd5ef7a6a446858d25ecc7868</t>
  </si>
  <si>
    <t>Software architecture - perspectives on an emerging discipline</t>
  </si>
  <si>
    <t>Shaw, D., M., Garlan</t>
  </si>
  <si>
    <t>https://dl.acm.org/doi/abs/10.5555/231003</t>
  </si>
  <si>
    <t>Exploiting non-functional preferences in architectural adaptation for selfmanaged systems,</t>
  </si>
  <si>
    <t>Sykes, Daniel and Heaven, William and Magee, Jeff and Kramer, Jeff</t>
  </si>
  <si>
    <t>https://doi.org/10.1145/1774088.1774180</t>
  </si>
  <si>
    <t>The Object Constraint Language: Getting Your Models Ready for MDA</t>
  </si>
  <si>
    <t>Warmer, A., J., Kleppe</t>
  </si>
  <si>
    <t>https://dl.acm.org/doi/10.5555/861416</t>
  </si>
  <si>
    <t>Compositional verification of self-adaptive cyber-physical systems</t>
  </si>
  <si>
    <t>Borda, B., A., Pasquale, L., Koutavas, V., Nuseibeh</t>
  </si>
  <si>
    <t>https://doi.org/10.1145/3194133.3194146</t>
  </si>
  <si>
    <t>MORPH: A reference architecture for configuration and behaviour self-adaptation,ö in Proceedings of the 1st International Workshop on Control Theory for Software Engineering</t>
  </si>
  <si>
    <t>Braberman, S., V., Ippolito, N. D', Kramer, J., Sykes, D., Uchitel</t>
  </si>
  <si>
    <t>https://doi.org/10.1145/2804337.2804339</t>
  </si>
  <si>
    <t>Designing robust software systems through parametric markov chain synthesis</t>
  </si>
  <si>
    <t>Calinescu, N., R., ?eÜka, M., Gerasimou, S., Kwiatkowska, M., Paoletti</t>
  </si>
  <si>
    <t>https://doi.org/10.1109/icsa.2017.16</t>
  </si>
  <si>
    <t>Synthesizing tradeof spaces with quantitative guarantees for families of software systems</t>
  </si>
  <si>
    <t>Cßmara, B., J., Garlan, D., Schmerl</t>
  </si>
  <si>
    <t>https://doi.org/10.1016/j.jss.2019.02.055</t>
  </si>
  <si>
    <t>Adaptation impact and environment models for architecture-based self-adaptive systems</t>
  </si>
  <si>
    <t>Cßmara, B., J., Lopes, A., Garlan, D., Schmerl</t>
  </si>
  <si>
    <t>https://doi.org/10.1016/j.scico.2015.12.006</t>
  </si>
  <si>
    <t>Model-based assistance for making time/fidelity trade-ofs in component compositions</t>
  </si>
  <si>
    <t>Dwivedi, CS, V., Garlan, D., Pfefer, J., Schmerl, B., IEEE</t>
  </si>
  <si>
    <t>https://doi.org/10.1109/itng.2014.107</t>
  </si>
  <si>
    <t>9, 14</t>
  </si>
  <si>
    <t>Architecture-driven self-adaptation and self-management in robotics systems,ö in 2009 ICSE Workshop on Software Engineering for Adaptive and SelfManaging Systems</t>
  </si>
  <si>
    <t>Edwards, B., G., Garcia, J., Tajalli, H., Popescu, D., Medvidovic, N., Sukhatme, G., Petrus</t>
  </si>
  <si>
    <t>https://doi.org/10.1109/seams.2009.5069083</t>
  </si>
  <si>
    <t>Architectural description of component-based systems</t>
  </si>
  <si>
    <t>Garlan, D., D., Monroe, R. T., Wile</t>
  </si>
  <si>
    <t>https://doi.org/10.1184/R1/6602945.v1</t>
  </si>
  <si>
    <t>Tuning selfadaptation in cyber-physical systems through architectural homeostasis</t>
  </si>
  <si>
    <t>Gerostathopoulos, A., I., Skoda, D., Plasil, F., Bures, T., Knauss</t>
  </si>
  <si>
    <t>this was already found in forward snowballing</t>
  </si>
  <si>
    <t>Automated Planning and Acting</t>
  </si>
  <si>
    <t>Ghallab, P., M., Nau, D., Traverso</t>
  </si>
  <si>
    <t>https://doi.org/10.1017/CBO9781139583923</t>
  </si>
  <si>
    <t>not a paper or chapter</t>
  </si>
  <si>
    <t>Model transformation languages under a magnifying glass: A controlled experiment with Xtend</t>
  </si>
  <si>
    <t>Hebig, A., R., Seidl, C., Berger, T., Pedersen, J. K., Wasowski</t>
  </si>
  <si>
    <t>https://doi.org/10.1145/3236024.3236046</t>
  </si>
  <si>
    <t>Alloy: A lightweight object modelling notation,ö ACM Trans</t>
  </si>
  <si>
    <t>Jackson, D.</t>
  </si>
  <si>
    <t>https://doi.org/10.1145/505145.505149</t>
  </si>
  <si>
    <t>Analyzing architectural styles</t>
  </si>
  <si>
    <t>Kim, D., J., Garlan</t>
  </si>
  <si>
    <t>https://doi.org/10.1016/j.jss.2010.01.049</t>
  </si>
  <si>
    <t>Automated verification and strategy synthesis for probabilistic systems,ö in Automated Technology for Verification and Analysis - 11th International Symposium, ATVA 2013, ser</t>
  </si>
  <si>
    <t>Kwiatkowska, D., M. Z., Parker</t>
  </si>
  <si>
    <t>https://doi.org/10.1007/978-3-319-02444-8_2</t>
  </si>
  <si>
    <t>Optimal and dynamic planning for Markov decision processes with co-safe LTL specifications</t>
  </si>
  <si>
    <t>Lacerda, N., B., Parker, D., Hawes</t>
  </si>
  <si>
    <t>https://doi.org/10.1109/iros.2014.6942756</t>
  </si>
  <si>
    <t>Synthesis of component and connector models from crosscutting structural views,ö in European Software Engineering Conference and Symposium on the Foundations of Software Engineering</t>
  </si>
  <si>
    <t>Maoz, B., S., Ringert, J. O., Rumpe</t>
  </si>
  <si>
    <t>https://doi.org/10.1145/2491411.2491414</t>
  </si>
  <si>
    <t>Assurance in reinforcement learning using quantitative verification</t>
  </si>
  <si>
    <t>Mason, A., G., Calinescu, R., Kudenko, D., Banks</t>
  </si>
  <si>
    <t>https://doi.org/10.1007/978-3-319-66790-4_5</t>
  </si>
  <si>
    <t>Multi-robot LTL planning under uncertainty,ö in Formal Methods</t>
  </si>
  <si>
    <t>Menghi, B., C., Garcia, S., Pelliccione, P., Tumova, J., Havelund, K., Peleska, J., Roscoe</t>
  </si>
  <si>
    <t>https://doi.org/10.1007/978-3-319-95582-7_24</t>
  </si>
  <si>
    <t>Proactive self-adaptation under uncertainty: a probabilistic model checking approach</t>
  </si>
  <si>
    <t>Moreno, M., G. A., Cßmara, J., Garlan, D., Schmerl, B., Nitto, E. D., Harman</t>
  </si>
  <si>
    <t>https://doi.org/10.1145/2786805.2786853</t>
  </si>
  <si>
    <t>Self-adaptation for cyber-physical systems: a systematic literature review</t>
  </si>
  <si>
    <t>Muccini, D., H., Sharaf, M., Weyns</t>
  </si>
  <si>
    <t>https://doi.org/10.1145/2897053.2897069</t>
  </si>
  <si>
    <t>Using unstructured data to improve the continuous planning of critical processes involving humans</t>
  </si>
  <si>
    <t>Paterson, S., C., Calinescu, R., Wang, D., Manandhar</t>
  </si>
  <si>
    <t>https://doi.org/10.1109/seams.2019.00013</t>
  </si>
  <si>
    <t>Speeded up detection of squared fiducial markers</t>
  </si>
  <si>
    <t>Romero-Ramirez, , F. J., R., Medina-Carnicer, R.,</t>
  </si>
  <si>
    <t>https://doi.org/10.1016/j.imavis.2018.05.004</t>
  </si>
  <si>
    <t>Challenges in physical modeling for adaptation of cyber-physical systems,ö in Workshop on MARTCPS Models at Runtime and Networked Control for Cyber Physical Systems at IEEE World Forum on the Internet of Things</t>
  </si>
  <si>
    <t>Ruchkin, D., I., Samuel, S., Schmerl, B., Rico, A., Garlan</t>
  </si>
  <si>
    <t>https://doi.org/10.1109/wf-iot.2016.7845513</t>
  </si>
  <si>
    <t>Static-Time Extraction and Analysis of the ROS Computation Graph</t>
  </si>
  <si>
    <t>Santos, N., A., Cunha, A., Macedo</t>
  </si>
  <si>
    <t>https://doi.org/10.1109/irc.2019.00018</t>
  </si>
  <si>
    <t>From goals to components: a combined approach to self-management,ö in 2008 ICSE Workshop on Software Engineering for Adaptive and Self-Managing Systems, SEAMS 2008</t>
  </si>
  <si>
    <t>Sykes, H. A., D., Heaven, W., Magee, J., Kramer, J., Cheng, B. H. C., Lemos, R., Garlan, D., Giese, H., Litoiu, M., Magee, J., Mⁿller</t>
  </si>
  <si>
    <t>https://doi.org/10.1145/1370018.1370020</t>
  </si>
  <si>
    <t>PLASMA: a plan-based layered architecture for software model-driven adaptation</t>
  </si>
  <si>
    <t>Tajalli, N., H., Garcia, J., Edwards, G., Medvidovic</t>
  </si>
  <si>
    <t>https://doi.org/10.1145/1858996.1859092</t>
  </si>
  <si>
    <t>Robust symbiotic autonomous mobile service robots</t>
  </si>
  <si>
    <t>Veloso, S., M., Biswas, J., Coltin, B., Rosenthal</t>
  </si>
  <si>
    <t>https://doi.org/10.1109/iros.2018.8594067</t>
  </si>
  <si>
    <t>Playing music building context-aware and self-adaptive mobile applications</t>
  </si>
  <si>
    <t>Floch, U., J., Fra, C., Fricke, R., Geihs, K., Wagner, M., Lorenzo, J., Soladana, E., Mehlhase, S., Paspallis, N., Rahnama, H., Ruiz, P., Scholz</t>
  </si>
  <si>
    <t>https://doi.org/10.1002/spe.2116</t>
  </si>
  <si>
    <t>Architectural constraints in the model-driven development of self-adaptive applications</t>
  </si>
  <si>
    <t>Khan, K., M. U., Reichle, R., Geihs</t>
  </si>
  <si>
    <t>https://doi.org/10.1109/MDSO.2008.19</t>
  </si>
  <si>
    <t>A modelling language for cooperative plans in highly dynamic domains</t>
  </si>
  <si>
    <t>Skubch, K., H., Wagner, M., Reichle, R., Geihs</t>
  </si>
  <si>
    <t>https://doi.org/10.1016/j.mechatronics.2010.10.006</t>
  </si>
  <si>
    <t>Completely Unanticipated Dynamic Adaptation of Software</t>
  </si>
  <si>
    <t>Keeney, J.</t>
  </si>
  <si>
    <t>http://www.tara.tcd.ie/handle/2262/30726</t>
  </si>
  <si>
    <t>Clingo = asp + control: Preliminary report</t>
  </si>
  <si>
    <t>Gebser, T., M., Kaminski, R., Kaufmann, B., Schaub</t>
  </si>
  <si>
    <t>https://doi.org/10.48550/arXiv.1405.3694</t>
  </si>
  <si>
    <t>A comprehensive context modeling framework for pervasive computing systems,ö in Proceedings of the 8th IFIP WG 6.1 international conference on Distributed applications and interoperable systems</t>
  </si>
  <si>
    <t>Reichle, G. A., R., Wagner, M., Khan, M. U., Geihs, K., Lorenzo, J., Valla, M., Fra, C., Paspallis, N., Papadopoulos</t>
  </si>
  <si>
    <t>https://doi.org/10.1007/978-3-540-68642-2_23</t>
  </si>
  <si>
    <t>Peis ecologies: Ambient intelligence meets autonomous robotics</t>
  </si>
  <si>
    <t>Saffiotti, M., A., Broxvall</t>
  </si>
  <si>
    <t>https://doi.org/10.1145/1107548.1107615</t>
  </si>
  <si>
    <t>Dyknow: A framework for processing dynamic knowledge and object structures in autonomous systems</t>
  </si>
  <si>
    <t>https://doi.org/10.1007/3-540-32370-8_37</t>
  </si>
  <si>
    <t>https://www.diva-portal.org/smash/record.jsf?dswid=4727&amp;pid=diva2%3A214200</t>
  </si>
  <si>
    <t>Iq-asymtre: Forming executable coalitions for tightly coupled multirobot tasks</t>
  </si>
  <si>
    <t>Zhang, L., Y., Parker</t>
  </si>
  <si>
    <t>https://doi.org/10.1109/TRO.2012.2228135</t>
  </si>
  <si>
    <t>Connect: Emergent connectors for eternal software intensive networked systems</t>
  </si>
  <si>
    <t>Issarny, Consortium, V., Connect</t>
  </si>
  <si>
    <t>https://doi.org/10.1109/iceccs.2009.44</t>
  </si>
  <si>
    <t>Real-timediagnosis and repair of faults of robot control software</t>
  </si>
  <si>
    <t>Gerald, Wotawa, Steinbauer, MartinMorth, Franz</t>
  </si>
  <si>
    <t>https://doi.org/10.1007/11780519_2</t>
  </si>
  <si>
    <t>Towards Automated Online Diagnosiosf RobotNavigationSowftare</t>
  </si>
  <si>
    <t>Alexander, Franz, Kleiner, Gerald, Steinbauer, Wotawa</t>
  </si>
  <si>
    <t>https://doi.org/10.1007/978-3-540-89076-8_18</t>
  </si>
  <si>
    <t>Learning a probabilisticself-awareness model for robotic systems</t>
  </si>
  <si>
    <t>Golombek, M., R., Wrede, S., Hanheide, M., Heckmann</t>
  </si>
  <si>
    <t>https://doi.org/10.1109/iros.2010.5651095</t>
  </si>
  <si>
    <t>Model-based fault diagnosis and reconfiguration of robot drives</t>
  </si>
  <si>
    <t>Hofbaur, Wotawa, Gerald, Steinbauer, Franz</t>
  </si>
  <si>
    <t>https://doi.org/10.1109/iros.2007.4399092</t>
  </si>
  <si>
    <t>A flexible and scalable slam system withfull 3d motion estimation</t>
  </si>
  <si>
    <t>Kohlbrecher, U., S., Meyer, J., Stryk, O., Klingauf</t>
  </si>
  <si>
    <t>https://doi.org/10.1109/ssrr.2011.6106777</t>
  </si>
  <si>
    <t>Fault modeling for monitoringand diagnosis of sensor-rich hybrid systems</t>
  </si>
  <si>
    <t>Koutsoukos, P., X., Zhao, F., Haussecker, H., Reich, J., Cheung</t>
  </si>
  <si>
    <t>https://doi.org/10.1109/cdc.2001.980203</t>
  </si>
  <si>
    <t>A theoryof diagnosisfrom first principles</t>
  </si>
  <si>
    <t>Raymond, Reiter</t>
  </si>
  <si>
    <t>https://doi.org/10.1016/0004-3702(87)90062-2</t>
  </si>
  <si>
    <t>Model-based DiagnosisOr Reasoning From FirstPrinciples</t>
  </si>
  <si>
    <t>Peischl, Franz, Bernhard, Wotawa</t>
  </si>
  <si>
    <t>https://doi.org/10.1109/MIS.2003.1200725</t>
  </si>
  <si>
    <t>Fastplanning throughplanning graph analysis</t>
  </si>
  <si>
    <t>Blum, Merrick L., AvrimL., Furst</t>
  </si>
  <si>
    <t>https://doi.org/10.1016/S0004-3702(96)00047-1</t>
  </si>
  <si>
    <t>Remote Agent:to boldly go where no AI system has gone before</t>
  </si>
  <si>
    <t>Nicola Muscettola, Brian C., P., Pandurang, Nayak, Barney, Pell, Williams</t>
  </si>
  <si>
    <t>https://doi.org/10.1016/S0004-3702(98)00068-X</t>
  </si>
  <si>
    <t>12, 14</t>
  </si>
  <si>
    <t>An architecture for autonomy</t>
  </si>
  <si>
    <t>AIami, F., R., Chatila, R., Fleury, S., Ghallab, M., Ingrand</t>
  </si>
  <si>
    <t>https://doi.org/10.1177/027836499801700402</t>
  </si>
  <si>
    <t>Using qualitativeand model-based reasoning for sensor validationof autonomous robots</t>
  </si>
  <si>
    <t>https://www.researchgate.net/publication/228751643_Using_Qualitative_and_Model-Based_Reasoning_for_Sensor_Validation_of_Autonomous_Mobile_Robots</t>
  </si>
  <si>
    <t>Distributemdonitoringof hybridsystems:A model-directedapproach</t>
  </si>
  <si>
    <t>Zhao, P., F., Koutsoukos, X., Haussecker, H., Reich, J., Cheung</t>
  </si>
  <si>
    <t>https://www.researchgate.net/profile/Horst-Haussecker/publication/2375562_Distributed_Monitoring_of_Hybrid_Systems_A_model-directed_approach/links/0a85e532884ac52f96000000/Distributed-Monitoring-of-Hybrid-Systems-A-model-directed-approach.pdf</t>
  </si>
  <si>
    <t>RoboCupRescue 2011 - Robot League Team AriAnA(Iran)</t>
  </si>
  <si>
    <t>Amir, Soltanzadeh, H., Soltanzadeh, Amir H., Rajabi, Arash, Alizadeh, Golnaz, Eftekhari, Mehdi</t>
  </si>
  <si>
    <t>https://staff.fnwi.uva.nl/a.visser/activities/robocup/RoboCup2013/Symposium/TeamDescriptionPapers/Rescue/Champ2013_Iran_AriAnA_TDP.pdf</t>
  </si>
  <si>
    <t>Pddl theplanning domain denfinition language</t>
  </si>
  <si>
    <t>Dave, Sun, ChristiansonM, Chung Kwok, Smith, Ying</t>
  </si>
  <si>
    <t>https://www.researchgate.net/profile/Craig-Knoblock/publication/2278933_PDDL_-_The_Planning_Domain_Definition_Language/links/0912f50c0c99385e19000000/PDDL-The-Planning-Domain-Definition-Language.pdf</t>
  </si>
  <si>
    <t>Pddl4j</t>
  </si>
  <si>
    <t>Pellier, Damien</t>
  </si>
  <si>
    <t>https://sourceforge.net/projects/pdd4j/</t>
  </si>
  <si>
    <t>Factor graphs and GTSAM: A hands-on introduction,ö Georgia Institute of Technology</t>
  </si>
  <si>
    <t>Dellaert, F.</t>
  </si>
  <si>
    <t>https://citeseerx.ist.psu.edu/document?repid=rep1&amp;type=pdf&amp;doi=5f277ad6aff683be07bed616897a159464354333</t>
  </si>
  <si>
    <t>Monocular visual odometry using a planar road model to solve scale ambiguity</t>
  </si>
  <si>
    <t>Kitt, S., B. M., Rehder, J., Chambers, A. D., Schonbein, M., Lategahn, H., Singh</t>
  </si>
  <si>
    <t>https://kilthub.cmu.edu/articles/Monocular_Visual_Odometry_using_a_Planar_Road_Model_to_Solve_Scale_Ambiguity/6555626/files/12037856.pdf</t>
  </si>
  <si>
    <t>Awards for human-competitive results produced by genetic and evolutionary computation,ö competition held as part of the annual Genetic and Evolutionary Computation Conference (GECCO), sponsored by ACM SIGEVO</t>
  </si>
  <si>
    <t>https://www.human-competitive.org/</t>
  </si>
  <si>
    <t>Artificial life and real robots,</t>
  </si>
  <si>
    <t>Brooks, R. A.</t>
  </si>
  <si>
    <t>https://people.csail.mit.edu/brooks/papers/real-robots.pdf</t>
  </si>
  <si>
    <t>Parallelized stochastic gradient descent</t>
  </si>
  <si>
    <t>Zinkevich, A. J., M., Weimer, M., Li, L., Smola</t>
  </si>
  <si>
    <t>https://proceedings.neurips.cc/paper_files/paper/2010/file/abea47ba24142ed16b7d8fbf2c740e0d-Paper.pdf</t>
  </si>
  <si>
    <t>Exploiting open-endedness to solve problems through the search for novelty</t>
  </si>
  <si>
    <t>Lehman, K. O., J., Stanley</t>
  </si>
  <si>
    <t>https://www.academia.edu/download/25396037/0262287196chap43.pdf</t>
  </si>
  <si>
    <t>Steering control of an autonomous ground vehicle with application to the DARPA urban challenge</t>
  </si>
  <si>
    <t>Campbell, S. F.</t>
  </si>
  <si>
    <t>http://hdl.handle.net/1721.1/42301</t>
  </si>
  <si>
    <t>Rectified linear units improve restricted boltzmann machines</t>
  </si>
  <si>
    <t>Nair, G. E., V., Hinton</t>
  </si>
  <si>
    <t>https://www.cs.toronto.edu/~hinton/absps/reluICML.pdf</t>
  </si>
  <si>
    <t>Lane marking based localization using highly accurate maps,ö in 2013 IEEE Intelligent Vehicles Symposium (IV)</t>
  </si>
  <si>
    <t>Schreiber, U., M., Kno, C., Franke</t>
  </si>
  <si>
    <t>https://doi.org/10.1109/ivs.2013.6629509</t>
  </si>
  <si>
    <t>Robust localization using relative and absolute position estimates</t>
  </si>
  <si>
    <t>Goel, S. I., P., Roumeliotis</t>
  </si>
  <si>
    <t>https://doi.org/10.1109/iros.1999.812832</t>
  </si>
  <si>
    <t>Probabilistic self-localization for mobile robots</t>
  </si>
  <si>
    <t>Olson, C.</t>
  </si>
  <si>
    <t>https://doi.org/10.1109/70.833191</t>
  </si>
  <si>
    <t>An open platform for aggressive autonomous driving</t>
  </si>
  <si>
    <t>Goldfain, P., B., Drews, P., You, C., Barulic, M., Velev, O., Tsiotras</t>
  </si>
  <si>
    <t>https://doi.org/10.1109/MCS.2018.2876958</t>
  </si>
  <si>
    <t>Review of visual odometry: types, approaches, challenges, and applications</t>
  </si>
  <si>
    <t>Aqel, N. B., M. O., Marhaban, M. H., Saripan, M. I., Ismail</t>
  </si>
  <si>
    <t>https://doi.org/10.1186/s40064-016-3573-7</t>
  </si>
  <si>
    <t>Continuous 3d scan-matching with a spinning 2d laser,</t>
  </si>
  <si>
    <t>Bosse, R., M., Zlot</t>
  </si>
  <si>
    <t>https://doi.org/10.1109/robot.2009.5152851</t>
  </si>
  <si>
    <t>Continuous trajectory estimation for 3d slam from actuated lidar</t>
  </si>
  <si>
    <t>Alismail, B., H., Baker, L. D., Browning</t>
  </si>
  <si>
    <t>https://doi.org/10.1109/icra.2014.6907757</t>
  </si>
  <si>
    <t>3d scan registration based localization for autonomous vehicles-a comparison of ndt and icp under realistic conditions</t>
  </si>
  <si>
    <t>Pang, H., S., Kent, D., Cai, X., Al-Qassab, H., Morris, D., Radha</t>
  </si>
  <si>
    <t>https://doi.org/10.1109/vtcfall.2018.8690819</t>
  </si>
  <si>
    <t>Evolutionary robotics</t>
  </si>
  <si>
    <t>Nolfi, D., S., Bongard, J., Husbands, P., Floreano</t>
  </si>
  <si>
    <t>https://doi.org/10.1007/978-3-319-32552-1_76</t>
  </si>
  <si>
    <t>Automatically exploring how uncertainty impacts the behavior of dynamically adaptive systems</t>
  </si>
  <si>
    <t>Ramirez, D. B., A. J., Jensen, A. C., Cheng, B. H. C., Knoester</t>
  </si>
  <si>
    <t>https://doi.org/10.1109/ase.2011.6100127</t>
  </si>
  <si>
    <t>Running across the reality gap: Octopod locomotion evolved in a minimal simulation</t>
  </si>
  <si>
    <t>Jakobi, N.</t>
  </si>
  <si>
    <t>https://doi.org/10.1007/3-540-64957-3_63</t>
  </si>
  <si>
    <t>Once more unto the breach: Coevolving a robot and its simulator,</t>
  </si>
  <si>
    <t>Bongard, H., J. C., Lipson</t>
  </si>
  <si>
    <t>https://doi.org/10.7551/mitpress/1429.001.0001</t>
  </si>
  <si>
    <t>Crossing the reality gap in evolutionary robotics by promoting transferable controllers</t>
  </si>
  <si>
    <t>Koos, S., S., Mouret, J. B., Doncieux</t>
  </si>
  <si>
    <t>https://doi.org/10.1145/1830483.1830505</t>
  </si>
  <si>
    <t>Evolutionary algorithms for reinforcement learning</t>
  </si>
  <si>
    <t>Moriarty, A. C., D. E., Schultz</t>
  </si>
  <si>
    <t>https://doi.org/10.1613/jair.613</t>
  </si>
  <si>
    <t>Open issues in evolutionary robotics</t>
  </si>
  <si>
    <t>Silva, A. L., F., Duarte, M., Correia, L., Oliveira, S. M., Christensen</t>
  </si>
  <si>
    <t>https://doi.org/10.1162/EVCO_a_00172</t>
  </si>
  <si>
    <t>EvoROS: Integrating evolution and the Robot Operating System</t>
  </si>
  <si>
    <t>Simon, P. K., G. A., Clark, A. J., Moore, J. M., McKinley</t>
  </si>
  <si>
    <t>https://doi.org/10.1145/3205651.3208269</t>
  </si>
  <si>
    <t>Applying evolution and novelty search to enhance the resilience of autonomous systems</t>
  </si>
  <si>
    <t>Langford, B. H. C., M. A., Simon, G. A., McKinley, P. K., Cheng</t>
  </si>
  <si>
    <t>https://doi.org/10.1109/seams.2019.00017</t>
  </si>
  <si>
    <t>I realize it is at SEAMS but its not quite a SAS yet, emphasis on the System.</t>
  </si>
  <si>
    <t>An open approach to autonomous vehicles</t>
  </si>
  <si>
    <t>Kato, T., S., Takeuchi, E., Ishiguro, Y., Ninomiya, Y., Takeda, K., Hamada</t>
  </si>
  <si>
    <t>https://doi.org/10.1109/MM.2015.133</t>
  </si>
  <si>
    <t>A predictive controller for autonomous vehicle path tracking</t>
  </si>
  <si>
    <t>Raffo, L. B., G. V., Gomes, G. K., Normey-Rico, J. E., Kelber, C. R., Becker</t>
  </si>
  <si>
    <t>https://doi.org/10.1109/TITS.2008.2011697</t>
  </si>
  <si>
    <t>What is the best multi-stage architecture for object recognition?</t>
  </si>
  <si>
    <t>Jarrett, Y., K., Kavukcuoglu, K., Ranzato, M., LeCun</t>
  </si>
  <si>
    <t>https://doi.org/10.1109/iccv.2009.5459469</t>
  </si>
  <si>
    <t>A generalized extended Kalman filter implementation for the robot operating system</t>
  </si>
  <si>
    <t>Moore, D., T., Stouch</t>
  </si>
  <si>
    <t>https://doi.org/10.1007/978-3-319-08338-4_25</t>
  </si>
  <si>
    <t>Lowpower centimeter-level localization for indoor mobile robots based on ensemble Kalman smoother using received signal strength</t>
  </si>
  <si>
    <t>Zhuang, J., Y., Wang, Q., Shi, M., Cao, P., Qi, L., Yang</t>
  </si>
  <si>
    <t>https://doi.org/10.1109/JIOT.2019.2907707</t>
  </si>
  <si>
    <t>Robotic roommates making pancakes</t>
  </si>
  <si>
    <t>Michael Beetz, Ulrich Klank, Ingo Kresse, Alexis Maldonado, Lorenz Mosenlechner, Dejan Pangercic, Thomas Ruhr, Moritz Tenorth</t>
  </si>
  <si>
    <t>https://doi.org/10.1109/humanoids.2011.6100855</t>
  </si>
  <si>
    <t>Component-based refactoring of motion planning libraries</t>
  </si>
  <si>
    <t>D Brugali, W Nowak, L Gherardi, A Zakharov, E Prassler</t>
  </si>
  <si>
    <t>https://doi.org/10.1109/iros.2010.5650630</t>
  </si>
  <si>
    <t>Poster: Model-based Run-time Variability Resolution for Robotic Applications</t>
  </si>
  <si>
    <t>Luca Gherardi, Nico Hochgeschwender</t>
  </si>
  <si>
    <t>https://doi.org/10.1109/icse.2015.269</t>
  </si>
  <si>
    <t>its earlier work for primary 14 but its only two pages and involve no actual robot</t>
  </si>
  <si>
    <t>Modeling and reusing robotic software architectures: The HyperFlex toolchain</t>
  </si>
  <si>
    <t>Luca Gherardi, Davide Brugali</t>
  </si>
  <si>
    <t>https://doi.org/10.1109/icra.2014.6907806</t>
  </si>
  <si>
    <t>Final Selection Elvin</t>
  </si>
  <si>
    <t>Feature-Oriented Domain Analysis (FODA) Feasibility Study</t>
  </si>
  <si>
    <t>Kyo C. Kang, Sholom G. Cohen, James A. Hess, William E. Novak, A. S. Peterson</t>
  </si>
  <si>
    <t>https://apps.dtic.mil/sti/pdfs/ADA235785.pdf</t>
  </si>
  <si>
    <t>An eclipse-based Feature Models toolchain</t>
  </si>
  <si>
    <t>https://aisberg.unibg.it/retrieve/e40f7b84-1ab5-afca-e053-6605fe0aeaf2/EclipseIT2011.pdf</t>
  </si>
  <si>
    <t>tool</t>
  </si>
  <si>
    <t>Automated planning for feature model configuration based on functional and non-functional requirements</t>
  </si>
  <si>
    <t>Samaneh Soltani, Mohsen Asadi, Dragan Gašević, Marek Hatala, Ebrahim Bagheri</t>
  </si>
  <si>
    <t>https://doi.org/10.1145/2362536.2362548</t>
  </si>
  <si>
    <t>Stability and control of a quadrocopter despite the complete loss of one, two, or three propellers</t>
  </si>
  <si>
    <t>Mark W. Mueller, Raffaello D'Andrea</t>
  </si>
  <si>
    <t>https://doi.org/10.1109/icra.2014.6906588</t>
  </si>
  <si>
    <t>ESL: a language for supporting robust plan execution in embedded autonomous agents</t>
  </si>
  <si>
    <t>E. Gat</t>
  </si>
  <si>
    <t>https://doi.org/10.1109/aero.1997.574422</t>
  </si>
  <si>
    <t>Experiences with an architecture for intelligent, reactive agents</t>
  </si>
  <si>
    <t>R. Peter Bonasso, David Kortenkamp, David P. Miller, Marc Slack</t>
  </si>
  <si>
    <t>https://doi.org/10.1007/3540608052_67</t>
  </si>
  <si>
    <t>Plan execution interchange language (PLEXIL) for executable plans and command sequences</t>
  </si>
  <si>
    <t xml:space="preserve">Verma V, Estlin T, Jónsson A, Pasareanu C, Simmons R, Tso K. Plan </t>
  </si>
  <si>
    <t>http://www.cs.cmu.edu/~reids/papers/exec_isairas05.pdf</t>
  </si>
  <si>
    <t>A survey of autonomic computing—degrees, models, and applications</t>
  </si>
  <si>
    <t>Huebscher, Markus C. and McCann, Julie A.</t>
  </si>
  <si>
    <t>https://dl.acm.org/doi/10.1145/1380584.1380585</t>
  </si>
  <si>
    <t>V3CMM: a 3-View Component Meta-Model for Model-Driven Robotic Software Development</t>
  </si>
  <si>
    <t>https://aisberg.unibg.it/handle/10446/86153</t>
  </si>
  <si>
    <t>A Model-based Approach to Software Deployment in Robotics</t>
  </si>
  <si>
    <t>Nico Hochgeschwender, Luca Gherardi, Azamat Shakhirmardanov, Gerhard K. Kraetzschmar, Davide Brugali, Herman Bruyninckx</t>
  </si>
  <si>
    <t>https://doi.org/10.1109/iros.2013.6696915</t>
  </si>
  <si>
    <t>no runtime (yet) their future work would be selected by how they describe it</t>
  </si>
  <si>
    <t>A platform for aerial robotics research and demonstration: The Flying Machine Arena</t>
  </si>
  <si>
    <t>Lupashin, M., S., Hehn, M., Mueller, M. W., Schoellig, A. P., Sherback</t>
  </si>
  <si>
    <t>https://doi.org/10.1016/j.mechatronics.2013.11.006</t>
  </si>
  <si>
    <t>Towards component-based robotics</t>
  </si>
  <si>
    <t>A. Brooks, T. Kaupp, A. Makarenko, S. Williams, A. Oreback</t>
  </si>
  <si>
    <t>https://doi.org/10.1109/iros.2005.1545523</t>
  </si>
  <si>
    <t>GenoM3: Building middleware-independent robotic components</t>
  </si>
  <si>
    <t>Anthony Mallet, Cédric Pasteur, Matthieu Herrb, Séverin Lemaignan, Félix Ingrand</t>
  </si>
  <si>
    <t>https://doi.org/10.1109/robot.2010.5509539</t>
  </si>
  <si>
    <t>ReFrESH: A self-adaptation framework to support fault tolerance in field mobile robots</t>
  </si>
  <si>
    <t>Yanzhe Cui, Richard M. Voyles, Joshua T. Lane, Mohammad H. Mahoor</t>
  </si>
  <si>
    <t>https://doi.org/10.1109/iros.2014.6942765</t>
  </si>
  <si>
    <t>primary 8</t>
  </si>
  <si>
    <t>RecoNode: A reconfigurable node for heterogeneous multi-robot search and rescue</t>
  </si>
  <si>
    <t>Richard M. Voyles, Sam Povilus, Rahul Mangharam, Kang Li</t>
  </si>
  <si>
    <t>https://doi.org/10.1109/ssrr.2010.5981569</t>
  </si>
  <si>
    <t>Hexrotor UAV platform enabling dextrous interaction with structures-flight test</t>
  </si>
  <si>
    <t>Guangying Jiang, Richard Voyles</t>
  </si>
  <si>
    <t>https://doi.org/10.1109/ssrr.2013.6719377</t>
  </si>
  <si>
    <t>The stewart platform manipulator: a review</t>
  </si>
  <si>
    <t>Dasgupta, T., B., Mruthyunjaya</t>
  </si>
  <si>
    <t>https://doi.org/10.1016/S0094-114X(99)00006-3</t>
  </si>
  <si>
    <t>A new design of a 6-dof parallel robot</t>
  </si>
  <si>
    <t>Pierrot, D. P., F., Uchiyama, M.</t>
  </si>
  <si>
    <t>https://doi.org/10.20965/jrm.1990.p0308</t>
  </si>
  <si>
    <t>Self-calibration of the HEXA-parallel-structure</t>
  </si>
  <si>
    <t>P. Last, C. Budde, J. Hesselbach</t>
  </si>
  <si>
    <t>https://doi.org/10.1109/coase.2005.1506801</t>
  </si>
  <si>
    <t>Analyzing cyberphysical threats on robotic platforms</t>
  </si>
  <si>
    <t>Ahmad Yousef, B., K., AlMajali, A., Ghalyon, S., Dweik, W., Mohd</t>
  </si>
  <si>
    <t>https://doi.org/10.3390/s18051643</t>
  </si>
  <si>
    <t>Targeted Attacks on Teleoperated Surgical Robots: Dynamic Model-Based Detection and Mitigation</t>
  </si>
  <si>
    <t>Homa Alemzadeh, Daniel Chen, Xiao Li, Thenkurussi Kesavadas, Zbigniew T. Kalbarczyk, Ravishankar K. Iyer</t>
  </si>
  <si>
    <t>https://doi.org/10.1109/dsn.2016.43</t>
  </si>
  <si>
    <t>Specification-Based Monitoring of Cyber-Physical Systems: A Survey on Theory, Tools and Applications</t>
  </si>
  <si>
    <t>Bartocci, E.</t>
  </si>
  <si>
    <t>https://doi.org/10.1007/978-3-319-75632-5_5</t>
  </si>
  <si>
    <t>dr0wned-cyber-physical attack with additive manufacturing</t>
  </si>
  <si>
    <t>Belikovetsky, S.</t>
  </si>
  <si>
    <t>https://dl.acm.org/doi/abs/10.5555/3154768.3154769</t>
  </si>
  <si>
    <t>Directed greybox fuzzing</t>
  </si>
  <si>
    <t>Marcel Böhme, Van-Thuan Pham, Manh-Dung Nguyen, and Abhik Roychoudhury</t>
  </si>
  <si>
    <t>https://doi.org/10.1145/3133956.3134020</t>
  </si>
  <si>
    <t>To make a robot secure: an experimental analysis of cyber security threats against teleoperated surgical robots</t>
  </si>
  <si>
    <t>Bonaci, H.J., T., Herron, J., Yusuf, T., Yan, J., Kohno, T., Chizeck</t>
  </si>
  <si>
    <t>https://doi.org/10.48550/arXiv.1504.04339</t>
  </si>
  <si>
    <t>Secure Cyber-Physical Systems: Current trends, tools and open research problems</t>
  </si>
  <si>
    <t>Anupam Chattopadhyay, Alok Prakash, Muhammad Shafique</t>
  </si>
  <si>
    <t>https://doi.org/10.23919/date.2017.7927154</t>
  </si>
  <si>
    <t>Orpheus: enforcing cyber-physical execution semantics to defend against data-oriented attacks</t>
  </si>
  <si>
    <t>Long Cheng, Ke Tian, Danfeng (Daphne) Yao</t>
  </si>
  <si>
    <t>https://doi.org/10.1145/3134600.3134640</t>
  </si>
  <si>
    <t>KCAD: kinetic cyber-attack detection method for cyber-physical additive manufacturing systems</t>
  </si>
  <si>
    <t>Sujit Rokka Chhetri, Arquimedes Canedo, Mohammad Abdullah Al Faruque</t>
  </si>
  <si>
    <t>https://doi.org/10.1145/2966986.2967050</t>
  </si>
  <si>
    <t>Fingerprinting electronic control units for vehicle intrusion detection, in: 25th USENIX Security Symposium (USENIX Security 16</t>
  </si>
  <si>
    <t>Cho, K.G., K.-T., Shin</t>
  </si>
  <si>
    <t>https://dl.acm.org/doi/abs/10.5555/3241094.3241165</t>
  </si>
  <si>
    <t>A reliable position estimation method of the service robot by map matching</t>
  </si>
  <si>
    <t>Dongheui Lee,  Woojin Chung,  Munsang Kim</t>
  </si>
  <si>
    <t>https://doi.org/10.1109/robot.2003.1242021</t>
  </si>
  <si>
    <t>Service robotics and human labor: a first technology assessment of substitution and cooperation</t>
  </si>
  <si>
    <t>Decker, I., M., Fischer, M., Ott</t>
  </si>
  <si>
    <t>https://doi.org/10.1016/j.robot.2016.09.017</t>
  </si>
  <si>
    <t>Estimation of Safe Sensor Measurements of Autonomous System Under Attack</t>
  </si>
  <si>
    <t>Raj Gautam Dutta, Xiaolong Guo, Teng Zhang, Kevin Kwiat, Charles Kamhoua, Laurent Njilla, Yier Jin</t>
  </si>
  <si>
    <t>https://doi.org/10.1145/3061639.3062241</t>
  </si>
  <si>
    <t>Cleaning and household robots: a technology survey</t>
  </si>
  <si>
    <t>Fiorini, E., P., Prassler</t>
  </si>
  <si>
    <t>https://doi.org/10.1023/A:1008954632763</t>
  </si>
  <si>
    <t>Detection of cyber-attacks to indoor real time localization systems for autonomous robots</t>
  </si>
  <si>
    <t>Guerrero-Higueras, V., ┴.M., DeCastro-Garc?a, N., Matellßn</t>
  </si>
  <si>
    <t>https://doi.org/10.1016/j.robot.2017.10.006</t>
  </si>
  <si>
    <t>Applied ontologies and standards for service robots</t>
  </si>
  <si>
    <t>Haidegger, E., T., Barreto, M., Gonalves, P., Habib, M.K., Ragavan, S.K.V., Li, H., Vaccarella, A., Perrone, R., Prestes</t>
  </si>
  <si>
    <t>https://doi.org/10.1016/j.robot.2013.05.008</t>
  </si>
  <si>
    <t>meta</t>
  </si>
  <si>
    <t>Cyber-physical systems security - a survey</t>
  </si>
  <si>
    <t>Humayed, B., A., Lin, J., Li, F., Luo</t>
  </si>
  <si>
    <t>https://doi.org/10.1109/JIOT.2017.2703172</t>
  </si>
  <si>
    <t>Robot hazards: from safety to security</t>
  </si>
  <si>
    <t>Kirschgens, V.M., L.A., Ugarte, I.Z., Gil-Uriarte, E., Rosas, A.M., Vilches</t>
  </si>
  <si>
    <t>https://doi.org/10.48550/arXiv.1806.06681</t>
  </si>
  <si>
    <t>Cybersecurity of robotics and autonomous systems: Privacy and safety</t>
  </si>
  <si>
    <t>Lera, V.M., F.J.R., Llamas, C.F., Guerrero, ├.M., Olivera</t>
  </si>
  <si>
    <t>https://doi.org/10.5772/intechopen.69796</t>
  </si>
  <si>
    <t>Improved deep belief networks (IDBN) dynamic model-based detection and mitigation for targeted attacks on heavy-duty robots</t>
  </si>
  <si>
    <t>Li, Z., L., Xie, L., Li, W., Liu, Z., Wang</t>
  </si>
  <si>
    <t>https://doi.org/10.3390/app8050676</t>
  </si>
  <si>
    <t>False data injection attacks against state estimation in electric power grids</t>
  </si>
  <si>
    <t>Yao Liu, Peng Ning, Michael K. Reiter</t>
  </si>
  <si>
    <t>https://doi.org/10.1145/1653662.1653666</t>
  </si>
  <si>
    <t>Vulnerability assessment and defense technology for smart home cybersecurity considering pricing cyberattacks</t>
  </si>
  <si>
    <t>Yang Liu, Shiyan Hu, Tsung-Yi Ho</t>
  </si>
  <si>
    <t>https://doi.org/10.1109/iccad.2014.7001350</t>
  </si>
  <si>
    <t>A survey of intrusion detection techniques for cyber-physical systems, ACM Comput</t>
  </si>
  <si>
    <t>Mitchell, I.-R., R., Chen</t>
  </si>
  <si>
    <t>https://doi.org/10.1145/2542049</t>
  </si>
  <si>
    <t>R2U2: monitoring and diagnosis of security threats for unmanned aerial systems</t>
  </si>
  <si>
    <t>Moosbrugger, J., P., Rozier, K.Y., Schumann</t>
  </si>
  <si>
    <t>https://doi.org/10.1007/s10703-017-0275-x</t>
  </si>
  <si>
    <t>An experimental security analysis of an industrial robot controller, in: 2017 IEEE Symposium on Security and Privacy</t>
  </si>
  <si>
    <t>Quarta, S., D., Pogliani, M., Polino, M., Maggi, F., Zanchettin, A.M., Zanero</t>
  </si>
  <si>
    <t>https://doi.org/10.1109/SP.2017.20</t>
  </si>
  <si>
    <t>A comprehensive approach, and a case study, for conducting attack detection experiments in cyber-physical systems, Rob</t>
  </si>
  <si>
    <t>Sabaliauskaite, A., G., Ng, G., Ruths, J., Mathur</t>
  </si>
  <si>
    <t>https://doi.org/10.1016/j.robot.2017.09.018</t>
  </si>
  <si>
    <t>How safe are service robots in urban environments? bullying a robot</t>
  </si>
  <si>
    <t>Salvini, P., P., Ciaravella, G., Yu, W., Ferri, G., Manzi, A., Mazzolai, B., Laschi, C., Oh, S.R., Dario</t>
  </si>
  <si>
    <t>https://doi.org/10.1109/ROMAN.2010.5654677</t>
  </si>
  <si>
    <t>Outside the closed world: On using machine learning for network intrusion detection</t>
  </si>
  <si>
    <t>Sommer, V., R., Paxson</t>
  </si>
  <si>
    <t>https://doi.org/10.1109/SP.2010.25</t>
  </si>
  <si>
    <t>Fuzzing for Software Security Testing and Quality Assurance, first ed</t>
  </si>
  <si>
    <t>Takanen, C., A., Demott, J.D., Miller</t>
  </si>
  <si>
    <t>https://dl.acm.org/doi/10.5555/3275309</t>
  </si>
  <si>
    <t>Limiting the Impact of Stealthy Attacks on Industrial Control Systems</t>
  </si>
  <si>
    <t>David I. Urbina, Jairo A. Giraldo, Alvaro A. Cardenas, Nils Ole Tippenhauer, Junia Valente, Mustafa Faisal, Justin Ruths, Richard Candell, Henrik Sandberg</t>
  </si>
  <si>
    <t>https://doi.org/10.1145/2976749.2978388</t>
  </si>
  <si>
    <t>Rorg: Service Robot Software Management with Linux Containers</t>
  </si>
  <si>
    <t>Shengye Wang, Xiao Liu, Jishen Zhao, Henrik I. Christensen</t>
  </si>
  <si>
    <t>https://doi.org/10.1109/icra.2019.8793764</t>
  </si>
  <si>
    <t>very interesting but it does not actively tackle uncertainty. it would enable self-adaptation though</t>
  </si>
  <si>
    <t>Aspect-oriented Modeling of Attacks in Automotive Cyber-Physical Systems</t>
  </si>
  <si>
    <t>Armin Wasicek, Patricia Derler, Edward A. Lee</t>
  </si>
  <si>
    <t>https://doi.org/10.1145/2593069.2593095</t>
  </si>
  <si>
    <t>Security analysis of proactive participation of smart buildings in smart grid</t>
  </si>
  <si>
    <t>Tianshu Wei, Bowen Zheng, Qi Zhu, Shiyan Hu</t>
  </si>
  <si>
    <t>https://doi.org/10.1109/iccad.2015.7372606</t>
  </si>
  <si>
    <t>Leveraging strategic detection techniques for smart home pricing cyberattacks</t>
  </si>
  <si>
    <t>Liu, T., Y., Hu, S., Ho</t>
  </si>
  <si>
    <t>https://doi.org/10.1109/TDSC.2015.2427841</t>
  </si>
  <si>
    <t>Exploring energy-efficient cache design in emerging mobile platforms</t>
  </si>
  <si>
    <t>Yan, X., K., Peng, L., Chen, M., Fu</t>
  </si>
  <si>
    <t>https://doi.org/10.1145/2843940</t>
  </si>
  <si>
    <t>Design and verification for transportation system security</t>
  </si>
  <si>
    <t>Bowen Zheng, Wenchao Li, Peng Deng, Léonard Gérard, Qi Zhu, Natarajan Shankar</t>
  </si>
  <si>
    <t>https://doi.org/10.1145/2744769.2747920</t>
  </si>
  <si>
    <t>Cross-layer codesign for secure cyber-physical systems</t>
  </si>
  <si>
    <t>Zheng, F., B., Deng, P., Anguluri, R., Zhu, Q., Pasqualetti</t>
  </si>
  <si>
    <t>https://doi.org/10.1109/TCAD.2016.2523937</t>
  </si>
  <si>
    <t>Multi-robot cooperation for assembly: Automated planning and optimization</t>
  </si>
  <si>
    <t xml:space="preserve"> L. Nagele, A. Schierl, A. Hoffmann, and W. Reif</t>
  </si>
  <si>
    <t>https://doi.org/10.1007/978-3-030-63193-2_10</t>
  </si>
  <si>
    <t>OPC Unified Architecture: Interoperability for Industrie 4.0 and the internet of things</t>
  </si>
  <si>
    <t>T. Burke</t>
  </si>
  <si>
    <t>https://opcfoundation.org/wp-content/uploads/2023/05/OPC-UA-Interoperability-For-Industrie4-and-IoT-EN.pdf</t>
  </si>
  <si>
    <t>Open source OPC UA PubSub over TSN for realtime industrial communication</t>
  </si>
  <si>
    <t>J. Pfrommer, A. Ebner, S. Ravikumar, and B. Karunakaran</t>
  </si>
  <si>
    <t>https://doi.org/10.1109/ETFA.2018.8502479</t>
  </si>
  <si>
    <t>OPC Unified Architecture Part 14: PubSub (OPC 10000-14)</t>
  </si>
  <si>
    <t>https://opcfoundation.org/developer-tools/specifications-unified-architecture/part-14-pubsub</t>
  </si>
  <si>
    <t>Robot Operating System 2: Design, architecture, and uses in the wild</t>
  </si>
  <si>
    <t xml:space="preserve"> S. Macenski, T. Foote, B. Gerkey, C. Lalancette, and W. Woodall</t>
  </si>
  <si>
    <t>https://doi.org/10.1126/scirobotics.abm6074</t>
  </si>
  <si>
    <t>seen before in selection</t>
  </si>
  <si>
    <t>Towards a Real-Time Capable Plug &amp; Produce Environment for Adaptable Factories</t>
  </si>
  <si>
    <t>C. Eymuller, J. Hanke, A. Hoffmann, A. Poeppel, C. Wanninger, and W. Reif</t>
  </si>
  <si>
    <t>https://doi.org/10.1109/ETFA45728.2021.9613729</t>
  </si>
  <si>
    <t>its earlier work on 36, but they don't actualy do any self-adaptation _yet_</t>
  </si>
  <si>
    <t>Generation of the orchestrator code for skill-based automation systems</t>
  </si>
  <si>
    <t>K. Dorofeev, S. Bergemann, T. Terzimehic, J. Grothoff, M. Thies, and A. Zoitl</t>
  </si>
  <si>
    <t>https://doi.org/10.1109/ETFA45728.2021.9613728</t>
  </si>
  <si>
    <t>really more about control architectures</t>
  </si>
  <si>
    <t>Architectural standards for internet of things: From research to industrial adaption</t>
  </si>
  <si>
    <t xml:space="preserve"> S. S. A. Simnani, S. Shah, and M. T. Banday</t>
  </si>
  <si>
    <t>https://doi.org/10.1109/IC3I44769.2018.9007292</t>
  </si>
  <si>
    <t>A gentle introduction to OSGi</t>
  </si>
  <si>
    <t>A. L. Tavares and M. T. Valente</t>
  </si>
  <si>
    <t>https://doi.org/10.1145/1402521.1402526</t>
  </si>
  <si>
    <t>C++ Micro Services</t>
  </si>
  <si>
    <t>http://cppmicroservices.org/</t>
  </si>
  <si>
    <t>Real-Time Innovations (RTI)Connext Professional DDS</t>
  </si>
  <si>
    <t>https://www.rti.com/products/connext-dds-professional</t>
  </si>
  <si>
    <t>The MechatronicUML method - process, syntax, and semantics</t>
  </si>
  <si>
    <t>Becker, S., Brenner, C., Dziwok, S., Gewering, T., Hein-zemann, C., Pohlmann, U., Priesterjahn, C., Scha, W., Suck, J., Sudmann, O., Tichy, M.</t>
  </si>
  <si>
    <t>A reconfiguration framework for distributed components</t>
  </si>
  <si>
    <t>Bennour, B., Henrio, L., Rivera, M.</t>
  </si>
  <si>
    <t>Concurrency Control and Recovery in Database Systems</t>
  </si>
  <si>
    <t>Bernstein, P. A., Hadzilacos, V., Goodman, N.</t>
  </si>
  <si>
    <t>Models@ runtime</t>
  </si>
  <si>
    <t>Blair, G., Bencomo, N., France, R. B.</t>
  </si>
  <si>
    <t>38, 40</t>
  </si>
  <si>
    <t>A survey of self-management in dynamic software architecture specifications</t>
  </si>
  <si>
    <t>Bradbury, J. S., Cordy, J. R., Dingel, J., Wermelinger, M.</t>
  </si>
  <si>
    <t>The fractal component model and its support in java</t>
  </si>
  <si>
    <t>Bruneton, E., Coupaye, T., Leclercq, M., Qu, V., Stefani, J.-B.</t>
  </si>
  <si>
    <t>Hybrid uml components for the design of complex self-optimizing mechatronic systems</t>
  </si>
  <si>
    <t>Burmester, S., Giese, H., Oberschelp, O., Vieira, A.</t>
  </si>
  <si>
    <t>Comparison of component frameworks for real-time embedded systems</t>
  </si>
  <si>
    <t>Hosek, P., Pop, T., Bures, T., Hnetynka, P., Malohlava, M.</t>
  </si>
  <si>
    <t>Reliable dynamic reconfigurations in a reflective component model</t>
  </si>
  <si>
    <t>Leger, M., Ledoux, T., Coupaye, T.</t>
  </si>
  <si>
    <t>Version-consistent dynamic reconfiguration of component-based distributed systems</t>
  </si>
  <si>
    <t>Ma, X., Baresi, L., Ghezzi, C., Panzica La, V., and, Manna, Lu, J.</t>
  </si>
  <si>
    <t>https://doi.org/10.1145/2025113.2025148</t>
  </si>
  <si>
    <t>Composing adaptive software</t>
  </si>
  <si>
    <t>McKinley, P. K., Sadjadi, S. M., Kasten, E. P., Cheng, B. H. C.</t>
  </si>
  <si>
    <t>A component-oriented framework for spacecraft on-board software</t>
  </si>
  <si>
    <t>Prochazka, M., Ward, R., Tuma, P., Hnetynka, P., Adamek, J.</t>
  </si>
  <si>
    <t>Formalizing model checking on timed graph transformation systems</t>
  </si>
  <si>
    <t>Suck, J., Heinzemann, C.</t>
  </si>
  <si>
    <t>https://d1wqtxts1xzle7.cloudfront.net/71158673/Formalizing_Model_Checking_on_Timed_Grap20211003-28264-cnjm2c.pdf?1633274879=&amp;response-content-disposition=inline%3B+filename%3DFormalizing_model_checking_on_timed_grap.pdf&amp;Expires=1727095274&amp;Signature=EcD6J9qVhzJOadwx-q50SQ4uFgU0~m4pNPTQVfRUOoydT4p5tCBORAeonfufKK0avaoVGwvHTEJhAIZFBkdkXlxGnEdYHS~H5SM1opiW7DIQyX5bLu87MJezRF6xOyy737a6ptBGDzKtpK9LYeIG~GUGomFJiGBzJrZrxXrNbUn-58d8ncHILduNTfJ59qTyLEF~8PUsu5tVnX6WJrlWbNi756i4P9IUmrDgPoaB785Pe3dtdfT0ihYq0xc7vv3beKaB8tzyZbwROdlIk~7yhR~J3xnPsf9OhVeIzKyD1qzrxLvMxVwf5f1CyIB5TZF1Drkknh2VChXjaf70fpErpA__&amp;Key-Pair-Id=APKAJLOHF5GGSLRBV4ZA</t>
  </si>
  <si>
    <t>Component story diagrams: A transformation language for component structures in mechatronic systems</t>
  </si>
  <si>
    <t>Tichy, M., Henkler, S., Holtmann, J.</t>
  </si>
  <si>
    <t>Model-based development of dynamically adaptive software</t>
  </si>
  <si>
    <t>Zhang, J., Cheng, B. H. C.</t>
  </si>
  <si>
    <t>Towards a Better Understanding of Context and Context-Awareness</t>
  </si>
  <si>
    <t>G. Abowd et al.,</t>
  </si>
  <si>
    <t>A Binary Integer Programming Model for Optimal Object Distribution,</t>
  </si>
  <si>
    <t>M.C. Bastarrica, A.A. Shvartsman, and S.A. Demurjian</t>
  </si>
  <si>
    <t>MobiPADS: Reflective Middleware for Context- Aware Mobile Computing</t>
  </si>
  <si>
    <t>A. Chan et al.</t>
  </si>
  <si>
    <t>Software Engineering for Self-Adaptive Systems: A Research Roadmap. Software Engineering for Self-Adaptive Systems</t>
  </si>
  <si>
    <t>B. Cheng et al.</t>
  </si>
  <si>
    <t>A User-Oriented Software Reliability Model,</t>
  </si>
  <si>
    <t>R.C. Cheung</t>
  </si>
  <si>
    <t>Early Prediction of Software Component Reliability</t>
  </si>
  <si>
    <t>L. Cheung et al.</t>
  </si>
  <si>
    <t>Documenting Software Architectures: Views and Beyond</t>
  </si>
  <si>
    <t>P. Clements, F. Bachmann, L. Bass, D. Garlan, J. Ivers, R. Little, R. Nord, and J. Stafford</t>
  </si>
  <si>
    <t>RESISTing Reliability Degradation through Proactive Reconfiguration</t>
  </si>
  <si>
    <t>D. Cooray, S. Malek, R. Roshandel, and D. Kilgore</t>
  </si>
  <si>
    <t>IBM ILOG CPLEX Optimizer</t>
  </si>
  <si>
    <t>IBM?</t>
  </si>
  <si>
    <t>www.ibm.com/software/integration/optimization/cplex-optimizer</t>
  </si>
  <si>
    <t>Scenario-Driven Dynamic Analysis of Distributed Architectures</t>
  </si>
  <si>
    <t>G. Edwards et al</t>
  </si>
  <si>
    <t>Model Evolution by Run-Time Parameter Adaptation,</t>
  </si>
  <si>
    <t>I. Epifani, C. Ghezzi, R. Mirandola, and G. Tamburrelli</t>
  </si>
  <si>
    <t>A Modeling language for Activity-Oriented Composition of Service-Oriented Software Systems</t>
  </si>
  <si>
    <t>N. Esfahani et al</t>
  </si>
  <si>
    <t>Rainbow: Architecture-Based Self-Adaptation with Reusable Infrastructure</t>
  </si>
  <si>
    <t>D. Garlan, S. Cheng, A. Huang, B. Schmerl, and P. Steenkiste</t>
  </si>
  <si>
    <t>Architecture-Based Software Reliability Analysis: Overview and Limitations</t>
  </si>
  <si>
    <t>S. Gokhale,</t>
  </si>
  <si>
    <t>Architectural Level Risk Analysis Using UML</t>
  </si>
  <si>
    <t>K. Goseva-Popstojanova, A. Hassan, A. Guedem, W. Abdelmoez, D.E.M. Nassar, H. Ammar, and A. Mili</t>
  </si>
  <si>
    <t>Architecture-Based Approaches to Software Reliability Prediction</t>
  </si>
  <si>
    <t>K. Goseva-Popstojanova and K.S. Trivedi</t>
  </si>
  <si>
    <t>Survey of Reliability and Availability Prediction Methods from the Viewpoint of Software Architecture</t>
  </si>
  <si>
    <t>A. Immonen and E. Niemela</t>
  </si>
  <si>
    <t>An Introduction to Stochastic Modeling</t>
  </si>
  <si>
    <t>S. Karlin and H.M. Taylor</t>
  </si>
  <si>
    <t>Achieving Self-Management via Utility Functions</t>
  </si>
  <si>
    <t>J.O. Kephart and R. Das</t>
  </si>
  <si>
    <t>An Experimental Evaluation of the Assumption of Independence in Multiversion Programming</t>
  </si>
  <si>
    <t>J.C. Knight and N.G. Leveson</t>
  </si>
  <si>
    <t>Self-Managed Systems: An Architectural Challenge</t>
  </si>
  <si>
    <t>J. Kramer and J. Magee</t>
  </si>
  <si>
    <t>The Evolving Philosophers Problem: Dynamic Change Management</t>
  </si>
  <si>
    <t>On the Estimation of Reliability of a Software System Using Reliabilities of Its Components</t>
  </si>
  <si>
    <t>S. Krishnamurthy and A. Mathur</t>
  </si>
  <si>
    <t>A Style-Aware Architectural Middleware for Resource Constrained, Distributed Systems</t>
  </si>
  <si>
    <t>S. Malek, M. Mikic-Rakic, and N. Medvidovic</t>
  </si>
  <si>
    <t>An Architecture-Driven Software Mobility Framework</t>
  </si>
  <si>
    <t>Malek, G. Edwards, Y. Brun, H. Tajalli, J. Garcia, I. Krka, N. Medvidovic, M. Mikic-Rakic, and G. Sukhatme</t>
  </si>
  <si>
    <t>“Improving the Reliability of Mobile Software Systems through Continuous Analysis and Proactive Reconfiguration</t>
  </si>
  <si>
    <t>S. Malek, R. Roshandel, D. Kilgore, and I. Elhag</t>
  </si>
  <si>
    <t>An Extensible Framework for Improving a Distributed Software System’s Deployment Architecture</t>
  </si>
  <si>
    <t>S. Malek, N. Medvidovic, and M. Mikic-Rakic</t>
  </si>
  <si>
    <t>https://doi.org/10.1109/TSE.2011.3</t>
  </si>
  <si>
    <t>seen during selection</t>
  </si>
  <si>
    <t>On the Granularity of Markov-Based Reliability Models</t>
  </si>
  <si>
    <t>L. Markides, L. Stetson, K. Zielinski, C. Mattmann, and R. Roshandel</t>
  </si>
  <si>
    <t>XMIDDLE: A Data-Sharing Middleware for Mobile Computing</t>
  </si>
  <si>
    <t>C. Mascolo, L. Capra, S. Zachariadis, and W. Emmerich</t>
  </si>
  <si>
    <t>Improving Dependability of Component-Based Systems via Multi-Versioning Connectors</t>
  </si>
  <si>
    <t>N. Medvidovic, M. Mikic-Rakic, and N. Mehta</t>
  </si>
  <si>
    <t>A Framework for Utility-Based Service Oriented Design in SASSY</t>
  </si>
  <si>
    <t>D.A. Menasce, J.M. Ewing, H. Gomaa, S. Malek, and J.P. Sousa</t>
  </si>
  <si>
    <t>Mobile Robots Inc.</t>
  </si>
  <si>
    <t>http://www.mobilerobots.com/</t>
  </si>
  <si>
    <t>Lime: A Middleware for Physical and Logical Mobility</t>
  </si>
  <si>
    <t>A.L. Murphy, G.P. Picco, and G.C. Roman</t>
  </si>
  <si>
    <t>Architecture-Based Runtime Software Evolution</t>
  </si>
  <si>
    <t>P. Oreizy, N. Medvidovic, and R.N. Taylor</t>
  </si>
  <si>
    <t>Foundations for the Study of Software Architecture</t>
  </si>
  <si>
    <t>D. Perry and A. Wolf</t>
  </si>
  <si>
    <t>Software Reliability</t>
  </si>
  <si>
    <t>H. Pham</t>
  </si>
  <si>
    <t>The Largest Variance First Policy in Some Stochastic Scheduling Problems</t>
  </si>
  <si>
    <t>M. Pinedo and G. Weiss</t>
  </si>
  <si>
    <t>A Software Architecture for Monitoring the Reliability in Distributed Systems</t>
  </si>
  <si>
    <t>F. Popentiu and P. Sens</t>
  </si>
  <si>
    <t>A Tutorial on Hidden Markov Models and Selected Applications in Speech Recognition</t>
  </si>
  <si>
    <t>L. Rabiner</t>
  </si>
  <si>
    <t>RESIST homepage,</t>
  </si>
  <si>
    <t>http://www.sdalab.com/projects/resist</t>
  </si>
  <si>
    <t>Reliability Prediction for Component-Based Software Architectures</t>
  </si>
  <si>
    <t>R.H. Reussner, H.W. Schmidt, and I.H. Poernomo</t>
  </si>
  <si>
    <t>Using Scenarios to Predict the Reliability of Concurrent Component-Based Software Systems</t>
  </si>
  <si>
    <t>G. Rodrigues, D. Rosenblum, and S. Uchitel</t>
  </si>
  <si>
    <t>A Bayesian Model for Predicting Reliability of Software Systems at the Architectural Level</t>
  </si>
  <si>
    <t>R. Roshandel, N. Medvidovic, and L. Golubchik</t>
  </si>
  <si>
    <t>A Bayesian Approach to Reliability Prediction and Assessment of Component Based Systems</t>
  </si>
  <si>
    <t>H. Singh, V. Cortellessa, B. Cukic, E. Gunel, and V. Bharadwaj</t>
  </si>
  <si>
    <t>Behavior-Based Robot Navigation on Challenging Terrain: A Fuzzy Logic Approach</t>
  </si>
  <si>
    <t>H. Seraji and A. Howard</t>
  </si>
  <si>
    <t>Context-Aware Computing Applications</t>
  </si>
  <si>
    <t>B. Schilit, N. Adams, and R. Want</t>
  </si>
  <si>
    <t>Software Architecture: Perspectives on an Emerging Discipline</t>
  </si>
  <si>
    <t>M. Shaw and D. Garlan</t>
  </si>
  <si>
    <t>User Guidance of Resource-Adaptive Systems</t>
  </si>
  <si>
    <t>J.P. Sousa, R.K. Balan, V. Poladian, D. Garlan, and M.Satyanarayanan</t>
  </si>
  <si>
    <t>Aura: An Architectural Framework for User Mobility in Ubiquitous Computing Environments</t>
  </si>
  <si>
    <t>J. Sousa and D. Garlan</t>
  </si>
  <si>
    <t>Introduction to the Numerical Solution of Markov Chains</t>
  </si>
  <si>
    <t>W.J. Stewart</t>
  </si>
  <si>
    <t>Moving Average Modeling Approach for Computing Component-Based Software Reliability Growth Trends</t>
  </si>
  <si>
    <t>W. Wang, T.L. Hemminger, and M. Tang</t>
  </si>
  <si>
    <t>Architecture-Based Software Reliability Modeling</t>
  </si>
  <si>
    <t>W. Wang, D. Pan, and M. Chen</t>
  </si>
  <si>
    <t>Modeling and managing context-aware systems' variability</t>
  </si>
  <si>
    <t>Mens, K., Capilla, R., Hartmann, H., Kropf, T.</t>
  </si>
  <si>
    <t>https://doi.ieeecomputersociety.org/10.1109/MS.2017.4121225</t>
  </si>
  <si>
    <t>not a paper, intro to special issue</t>
  </si>
  <si>
    <t>On Patterns for Decentralized Control in Self-Adaptive Systems</t>
  </si>
  <si>
    <t>Weyns, D., Schmerl, B., Grassi, V., Malek, S., Mirandola, R., Prehofer, C., Wuttke, J., Andersson, J., Giese, H., Goeschka, K., Lemos, R., Giese, H., Mller, H.</t>
  </si>
  <si>
    <t>https://doi.org/10.1007/978-3-642-35813-5_4</t>
  </si>
  <si>
    <t>Modeling context-aware and intention-aware in-car infotainment systems - concepts and modeling processes</t>
  </si>
  <si>
    <t>Luddecke, D., Seidl, C., Schneider, J., Schaefer, I.</t>
  </si>
  <si>
    <t>https://doi.org/10.1007/s10270-016-0543-z</t>
  </si>
  <si>
    <t>infotainment is not a robot</t>
  </si>
  <si>
    <t>Using variability modelling and design patterns for self-adaptive system engineering: Application to smart-home</t>
  </si>
  <si>
    <t>Berkane, M. L., Seinturier, L., Boufaida, M.</t>
  </si>
  <si>
    <t>https://doi.org/10.1504/IJWET.2015.069359</t>
  </si>
  <si>
    <t>The tug robot</t>
  </si>
  <si>
    <t>Aethon</t>
  </si>
  <si>
    <t>A component-based middleware platform for reconfigurable service-oriented architectures</t>
  </si>
  <si>
    <t>Seinturier, L., Merle, P., Rouvoy, R., Romero, D., Schiavoni, V., Stefani, J.</t>
  </si>
  <si>
    <t>https://doi.org/10.1002/spe.1077</t>
  </si>
  <si>
    <t>Model-based development of qos-aware reconfigurable autonomous robotic systems</t>
  </si>
  <si>
    <t>Brugali, D., Capilla, R., Mirandola, R., Trubiani, C.</t>
  </si>
  <si>
    <t>already a primary study</t>
  </si>
  <si>
    <t>A classification of dynamic reconfiguration in component and connector architecture description</t>
  </si>
  <si>
    <t>Butting, A., Heim, R., Kautz, O., Ringert, J. O., Rumpe, B., Wortmann, A.</t>
  </si>
  <si>
    <t>https://ceur-ws.org/Vol-2019/modcomp_2.pdf</t>
  </si>
  <si>
    <t>An overview of dynamic software product line architectures and techniques: Observations from research and industry</t>
  </si>
  <si>
    <t>Capilla, R., Bosch, J., Trinidad, P., Ruiz-, A., Hinchey, M.</t>
  </si>
  <si>
    <t>https://doi.org/10.1016/j.jss.2013.12.038</t>
  </si>
  <si>
    <t>A comparative study of dynamic software product line solutions for building self-adaptive systems</t>
  </si>
  <si>
    <t>J. D. A. S. Eleuterio and C. M. F. Rubira</t>
  </si>
  <si>
    <t>https://ic.unicamp.br/~reltech/2017/17-05.pdf</t>
  </si>
  <si>
    <t>J. Floch, S. Hallsteinsen, E. Stav, F. Eliassen, K. Lund, and E. Gjorven</t>
  </si>
  <si>
    <t>A metamodel-based classification of variability modeling approaches</t>
  </si>
  <si>
    <t>Istoan, P., Klein, J., Perrouin, G.</t>
  </si>
  <si>
    <t>https://core.ac.uk/download/pdf/16435124.pdf</t>
  </si>
  <si>
    <t>Component-based Product Line Engineering with UML</t>
  </si>
  <si>
    <t>Atkinson, C., Bayer, J., Bunse, C., Kamsties, E., Laitenberger, O., Laqua, R., Muthig, D., Paech, B., Wu, J., Zettel, J.</t>
  </si>
  <si>
    <t>Smooth nearness-diagram navigation</t>
  </si>
  <si>
    <t>J. W. Durham and F. Bullo</t>
  </si>
  <si>
    <t>The dynamic window approach to collision avoidance</t>
  </si>
  <si>
    <t>D. Fox, W. Burgard, and S. Thrun</t>
  </si>
  <si>
    <t>A reuse-oriented development process for component-based robotic systems</t>
  </si>
  <si>
    <t>D. Brugali, L. Gherardi, A. Biziak, A. Luzzana, and A. Zakharov</t>
  </si>
  <si>
    <t>https://doi.org/10.1007/978-3-642-34327-8_33</t>
  </si>
  <si>
    <t>not about runtime</t>
  </si>
  <si>
    <t>Managing the functional variability of robotic perception systems</t>
  </si>
  <si>
    <t>D. Brugali and N. Hochgeschwender</t>
  </si>
  <si>
    <t>https://doi.org/10.1109/IRC.2017.20</t>
  </si>
  <si>
    <t>The office marathon: Robust navigation in an indoor office environment</t>
  </si>
  <si>
    <t>E. Marder-Eppstein, E. Berger, T. Foote, B. Gerkey, and K. Konolige</t>
  </si>
  <si>
    <t>Hyperflex: A model driven toolchain for designing and configuring software control systems for autonomous robots</t>
  </si>
  <si>
    <t>D. Brugali and L. Gherardi,</t>
  </si>
  <si>
    <t>https://doi.org/10.1007/978-3-319-26054-9_20</t>
  </si>
  <si>
    <t>Why ros 2</t>
  </si>
  <si>
    <t>B. Gerkey</t>
  </si>
  <si>
    <t>https://design.ros2.org/articles/why_ros2.html</t>
  </si>
  <si>
    <t>A theory of timed automata</t>
  </si>
  <si>
    <t>Alur, R., Dill, D.L</t>
  </si>
  <si>
    <t>Times: a tool for schedulability analysis and code generation of real-time systems</t>
  </si>
  <si>
    <t>Amnell, T., Fersman, E., Mokrushin, L., Pettersson, P., Yi, W., Larsen, K., Niebert, P.</t>
  </si>
  <si>
    <t>A non-intrusive component-based approach for deploying unanticipated self-management behaviourSEAMS'09</t>
  </si>
  <si>
    <t>Andrade, S.S., Ara·jo MacΩdo, R.J.</t>
  </si>
  <si>
    <t>Deployment and dynamic reconfiguration planning for distributed software systems</t>
  </si>
  <si>
    <t>Arshad, N., Heimbigner, D., Wolf, A.L.</t>
  </si>
  <si>
    <t>Self-management framework for mobile autonomous systems</t>
  </si>
  <si>
    <t>Asmare, E., Gopalan, A., Sloman, M., Dulay, N., Lupu, E.</t>
  </si>
  <si>
    <t>https://doi.org/10.1007/s10922-011-9201-5</t>
  </si>
  <si>
    <t>Fixed priority preemptive scheduling: an historical perspective</t>
  </si>
  <si>
    <t>Audsley, N., Burns, A., Davis, R., Tindell, K., Wellings, A.</t>
  </si>
  <si>
    <t>DREMS ML: a wide spectrum architecture design language for distributed computing platforms</t>
  </si>
  <si>
    <t>Balasubramanian, D., Dubey, A., Otte, W., Levendovszky, T., Gokhale, A., Kumar, P., Emfinger, W., Karsai, G.</t>
  </si>
  <si>
    <t>http://dx.doi.org/10.1016/j.scico.2015.04.002</t>
  </si>
  <si>
    <t>Satisfiability modulo theories</t>
  </si>
  <si>
    <t>Barrett, C.W., Sebastiani, R., Seshia, S.A., Tinelli, C.</t>
  </si>
  <si>
    <t>The Value Proposition for Fractionated Space Architectures AIAA Paper 2006</t>
  </si>
  <si>
    <t>Brown, O., Eremenko, P.</t>
  </si>
  <si>
    <t>PTIDES: A Programming Model for Distributed Real-Time Embedded Systems</t>
  </si>
  <si>
    <t>Derler, P., Feng, T.H., Lee, E.A., Matic, S., Patel, H.D., Zhao, Y., Zou, J.</t>
  </si>
  <si>
    <t>Model-based software health management for real-time systems</t>
  </si>
  <si>
    <t>Dubey, A., Karsai, G., Mahadevan, N.</t>
  </si>
  <si>
    <t>Analysis, verification, and management toolsuite for cyber-physical applications on time-varying networks</t>
  </si>
  <si>
    <t>Emfinger, W., Karsai, G., Dubey, A., Gokhale, A.</t>
  </si>
  <si>
    <t>http://dx.doi.org/10.1145/2593458.2593459</t>
  </si>
  <si>
    <t>Low complexity reconfiguration for real-time data-intensive service-oriented applications</t>
  </si>
  <si>
    <t>Garcφa-Valls, M., Uriol-Resuela, P., Ibß±ez-Vßzquez, F., Basanta-Val, P.</t>
  </si>
  <si>
    <t>https://doi.org/10.1016/j.future.2013.10.019</t>
  </si>
  <si>
    <t>Mast: modeling and analysis suite for real time applications</t>
  </si>
  <si>
    <t>Harbour, M.G., Garcia, J.J.G.</t>
  </si>
  <si>
    <t>Component-based Software Engineering: Putting the Pieces Together. Addison-Wesley Longman Publishing Co</t>
  </si>
  <si>
    <t>Heineman, G.T., Councill, W.T.</t>
  </si>
  <si>
    <t>Coloured Petri Nets - Modelling and Validation of Concurrent Systems</t>
  </si>
  <si>
    <t>Jensen, K., Kristensen, L.M</t>
  </si>
  <si>
    <t>Distributed and managed: research challenges and opportunities of the next generation cyber-physical systems</t>
  </si>
  <si>
    <t>Karsai, G., Balasubramanian, D., Dubey, A., Otte, W.</t>
  </si>
  <si>
    <t>http://dx.doi.org/10.1109/ISORC.2014.36</t>
  </si>
  <si>
    <t>Integrated analysis of temporal behavior of componentbased distributed real-time embedded systems</t>
  </si>
  <si>
    <t>Kumar, P., Karsai, G.</t>
  </si>
  <si>
    <t>http://dx.doi.org/10.1109/ISORCW.2015.56</t>
  </si>
  <si>
    <t>Colored petri net-based modeling and formal analysis of component-based applications</t>
  </si>
  <si>
    <t>Kumar, P.S., Dubey, A., Karsai, G.</t>
  </si>
  <si>
    <t>https://ceur-ws.org/Vol-1235/MoDeVVa2014-complete.pdf#page=85</t>
  </si>
  <si>
    <t>A functional failure reasoning methodology for evaluation of conceptual system architectures</t>
  </si>
  <si>
    <t>Kurtoglu, T., Tumer, I.Y., Jensen, D.C.</t>
  </si>
  <si>
    <t>From dependability to resilience</t>
  </si>
  <si>
    <t>Laprie, J.</t>
  </si>
  <si>
    <t>Network Calculus: A Theory of Deterministic Queuing Systems for the Internet</t>
  </si>
  <si>
    <t>Le Boudec, J.-Y., Thiran, P.</t>
  </si>
  <si>
    <t>The generic modeling environment</t>
  </si>
  <si>
    <t>Ledeczi, A., Maroti, M., Bakay, A., Karsai, G., Garrett, J., Thomason, C., Nordstrom, G., Sprinkle, J., Volgyesi, P.</t>
  </si>
  <si>
    <t>Drems: a model-driven distributed secure information architecture platform for managed embedded systems</t>
  </si>
  <si>
    <t>Levendovszky, T., Dubey, A., Otte, W., Balasubramanian, D., Coglio, A., Nyako, S., Emfinger, W., Kumar, P., Gokhale, A., Karsai, G.</t>
  </si>
  <si>
    <t>Distributed real-time managed systems: a model-driven distributed secure information architecture platform for managed embedded systems</t>
  </si>
  <si>
    <t>Levendovszky, T., Dubey, A., Otte, W.R., Balasubramanian, D., Coglio, A., Nyako, S., Emfinger, W., Kumar, P., Gokhale, A., Karsai, G.</t>
  </si>
  <si>
    <t>https://doi.org/10.1109/MS.2013.143</t>
  </si>
  <si>
    <t>Timed automata model for component-based real-time systems</t>
  </si>
  <si>
    <t>Macariu, G., Cretu, V.</t>
  </si>
  <si>
    <t>Deliberative, search-based mitigation strategies for model-based software health management</t>
  </si>
  <si>
    <t>Mahadevan, N., Dubey, A., Balasubramanian, D., Karsai, G.</t>
  </si>
  <si>
    <t>https://doi.org/10.1007/s11334-013-0215-x</t>
  </si>
  <si>
    <t>Application of software health management techniques</t>
  </si>
  <si>
    <t>Mahadevan, N., Dubey, A., Karsai, G.</t>
  </si>
  <si>
    <t>http://dx.doi.org/10.1145/1988008.1988010</t>
  </si>
  <si>
    <t>A component-based approach based on high-level petri nets for modeling distributed control systems</t>
  </si>
  <si>
    <t>Masri, A., Bourdeaud, \_, ,, T., Toguyeni, A.</t>
  </si>
  <si>
    <t>RFDMon: a realtime and fault-tolerant distributed system monitoring approach</t>
  </si>
  <si>
    <t>Mehrotra, R., Dubey, A., Abdelwahed, S., Krisa, R.</t>
  </si>
  <si>
    <t>https://www.researchgate.net/profile/Abhishek_Dubey7/publication/265481282_RFDMon_A_Real-Time_and_Fault-Tolerant_Distributed_System_Monitoring_Approach/links/54cdb1f10cf29ca810f8ab7f/RFDMon-A-Real-Time-and-Fault-Tolerant-Distributed-System-Monitoring-Approach.pdf</t>
  </si>
  <si>
    <t>MongoDB</t>
  </si>
  <si>
    <t>_</t>
  </si>
  <si>
    <t>Z3: an efficient smt solver</t>
  </si>
  <si>
    <t>Moura, L.M., Bj°rner, N.</t>
  </si>
  <si>
    <t>Towards a product line of heterogeneous distributed applications</t>
  </si>
  <si>
    <t>Pradhan, S., Dubey, A., Otte, W.R., Karsai, G., Gokhale, A.</t>
  </si>
  <si>
    <t>https://citeseerx.ist.psu.edu/document?repid=rep1&amp;type=pdf&amp;doi=e3f414880e2567604769091c9d7758b7c186102b</t>
  </si>
  <si>
    <t>Towards a self-adaptive deployment and configuration infrastructure for cyber-physical systems</t>
  </si>
  <si>
    <t>Pradhan, S., Otte, W., Dubey, A., Szabo, C., Gokhale, A., Karsai, G.</t>
  </si>
  <si>
    <t>https://scopelab.ai/files/Pradhan2014b.pdf</t>
  </si>
  <si>
    <t>CPN tools for editing, simulating, and analysing coloured petri nets</t>
  </si>
  <si>
    <t>Ratzer, A.V., Wells, L., Lassen, H.M., Laursen, M., Qvortrup, J.F., Stissing, M.S., Westergaard, M., Christensen, S., Jensen, K.</t>
  </si>
  <si>
    <t>Adapting models to model checkers, a case study : analysing AADL using time or colored petri netsRSP '09</t>
  </si>
  <si>
    <t>Renault, X., Kordon, F., Hugues, J.</t>
  </si>
  <si>
    <t>From AADL architectural models to petri nets: checking model viabilityISORC '09</t>
  </si>
  <si>
    <t>Federating policy-driven autonomous systems: interaction specification and management patterns</t>
  </si>
  <si>
    <t>Schaeffer-Filho, A., Lupu, E., Sloman, M.</t>
  </si>
  <si>
    <t>https://doi.org/10.1007/s10922-014-9317-5</t>
  </si>
  <si>
    <t>it seems to be concerned with roles, not architecture-based but rather task-based. Additionally the application to a robotics problem as a focus is limited, and the actual self-adaptation focus is limited too.</t>
  </si>
  <si>
    <t>Guest editor's introduction: model-driven engineering</t>
  </si>
  <si>
    <t>Schmidt, D.C.</t>
  </si>
  <si>
    <t>Real time scheduling theory: a historical perspective</t>
  </si>
  <si>
    <t>Sha, L., Abdelzaher, T., Arzen, K.-E., Cervin, A., Baker, T., Burns, A., Buttazzo, G., Caccamo, M., Lehoczky, J., Mok, A.K.</t>
  </si>
  <si>
    <t>Cheddar: a flexible real time scheduling framework</t>
  </si>
  <si>
    <t>Singhoff, F., Legrand, J., Nana, L., MarcΘ, L.</t>
  </si>
  <si>
    <t>The case for software health management</t>
  </si>
  <si>
    <t>Srivastava, A., Schumann, J.</t>
  </si>
  <si>
    <t>https://doi.org/10.1109/SMC-IT.2011.14</t>
  </si>
  <si>
    <t>no specific system which is robotic</t>
  </si>
  <si>
    <t>Model-integrated computing</t>
  </si>
  <si>
    <t>Sztipanovits, J., Karsai, G.</t>
  </si>
  <si>
    <t>iland: an enhanced middleware for realtime reconfiguration of service oriented distributed real-time systems</t>
  </si>
  <si>
    <t>Valls, M.G., L≤pez, I.R., Villar, L.F.</t>
  </si>
  <si>
    <t>https://doi.org/10.1109/TII.2012.2198662</t>
  </si>
  <si>
    <t>An overview of the OMNeT++ simulation environmentProceedings of the 1st international conference on Simulation tools and techniques for communications, networks and systems &amp; workshops</t>
  </si>
  <si>
    <t>Varga, A., Hornig, R.</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</si>
</sst>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 m"/>
    <numFmt numFmtId="165" formatCode="d, m, yy"/>
  </numFmts>
  <fonts count="54">
    <font>
      <sz val="10.0"/>
      <color rgb="FF000000"/>
      <name val="Arial"/>
      <scheme val="minor"/>
    </font>
    <font>
      <b/>
      <sz val="10.0"/>
      <color theme="1"/>
      <name val="Arial"/>
      <scheme val="minor"/>
    </font>
    <font>
      <b/>
      <color theme="1"/>
      <name val="Arial"/>
      <scheme val="minor"/>
    </font>
    <font>
      <color theme="1"/>
      <name val="Arial"/>
      <scheme val="minor"/>
    </font>
    <font>
      <sz val="10.0"/>
      <color theme="1"/>
      <name val="Arial"/>
      <scheme val="minor"/>
    </font>
    <font>
      <u/>
      <sz val="10.0"/>
      <color rgb="FF0000FF"/>
    </font>
    <font>
      <u/>
      <sz val="10.0"/>
      <color rgb="FF1155CC"/>
    </font>
    <font>
      <sz val="10.0"/>
      <color theme="1"/>
      <name val="Arial"/>
    </font>
    <font>
      <u/>
      <sz val="10.0"/>
      <color rgb="FF1155CC"/>
      <name val="Arial"/>
    </font>
    <font>
      <u/>
      <sz val="10.0"/>
      <color rgb="FF0000FF"/>
    </font>
    <font>
      <color theme="1"/>
      <name val="Arial"/>
    </font>
    <font>
      <u/>
      <color rgb="FF1155CC"/>
      <name val="Arial"/>
    </font>
    <font>
      <u/>
      <color rgb="FF1155CC"/>
      <name val="Arial"/>
    </font>
    <font>
      <sz val="11.0"/>
      <color theme="1"/>
      <name val="Calibri"/>
    </font>
    <font>
      <u/>
      <sz val="11.0"/>
      <color rgb="FF0000FF"/>
      <name val="Calibri"/>
    </font>
    <font>
      <u/>
      <color rgb="FF0000FF"/>
    </font>
    <font>
      <u/>
      <color rgb="FF0000FF"/>
    </font>
    <font>
      <color rgb="FF333333"/>
      <name val="&quot;HelveticaNeue Regular&quot;"/>
    </font>
    <font>
      <u/>
      <color rgb="FF0000FF"/>
    </font>
    <font>
      <u/>
      <color rgb="FF0000FF"/>
    </font>
    <font>
      <u/>
      <color rgb="FF0000FF"/>
    </font>
    <font>
      <sz val="11.0"/>
      <color rgb="FF000000"/>
      <name val="Calibri"/>
    </font>
    <font>
      <b/>
      <color theme="1"/>
      <name val="Arial"/>
    </font>
    <font>
      <color rgb="FF333333"/>
      <name val="Sans-serif"/>
    </font>
    <font>
      <u/>
      <sz val="11.0"/>
      <color rgb="FF000000"/>
      <name val="Calibri"/>
    </font>
    <font>
      <u/>
      <color rgb="FF0000FF"/>
    </font>
    <font>
      <u/>
      <color rgb="FF006699"/>
      <name val="&quot;HelveticaNeue Regular&quot;"/>
    </font>
    <font>
      <sz val="9.0"/>
      <color rgb="FF222222"/>
      <name val="Arial"/>
    </font>
    <font>
      <sz val="9.0"/>
      <color rgb="FF1F1F1F"/>
      <name val="&quot;Google Sans&quot;"/>
    </font>
    <font>
      <u/>
      <sz val="9.0"/>
      <color rgb="FF1F1F1F"/>
      <name val="&quot;Google Sans&quot;"/>
    </font>
    <font>
      <color rgb="FF337AB7"/>
      <name val="&quot;Helvetica Neue&quot;"/>
    </font>
    <font>
      <color rgb="FF1F1F1F"/>
      <name val="ElsevierGulliver"/>
    </font>
    <font>
      <color rgb="FF333333"/>
      <name val="Arial"/>
    </font>
    <font>
      <u/>
      <sz val="12.0"/>
      <color rgb="FF505050"/>
      <name val="Arial"/>
    </font>
    <font>
      <u/>
      <color rgb="FF0000FF"/>
    </font>
    <font>
      <u/>
      <sz val="11.0"/>
      <color rgb="FF0000FF"/>
      <name val="Calibri"/>
    </font>
    <font>
      <u/>
      <sz val="11.0"/>
      <color rgb="FF0000FF"/>
      <name val="Calibri"/>
    </font>
    <font>
      <u/>
      <sz val="11.0"/>
      <color rgb="FF0000FF"/>
      <name val="Calibri"/>
    </font>
    <font>
      <u/>
      <sz val="11.0"/>
      <color rgb="FF0000FF"/>
      <name val="Calibri"/>
    </font>
    <font>
      <u/>
      <sz val="11.0"/>
      <color rgb="FF0000FF"/>
      <name val="Calibri"/>
    </font>
    <font>
      <u/>
      <color rgb="FF0000FF"/>
    </font>
    <font>
      <u/>
      <sz val="11.0"/>
      <color rgb="FF0000FF"/>
      <name val="Calibri"/>
    </font>
    <font>
      <u/>
      <color rgb="FF0000FF"/>
      <name val="Arial"/>
    </font>
    <font>
      <u/>
      <sz val="11.0"/>
      <color rgb="FF0000FF"/>
      <name val="Calibri"/>
    </font>
    <font>
      <u/>
      <sz val="11.0"/>
      <color rgb="FF0000FF"/>
      <name val="Calibri"/>
    </font>
    <font>
      <u/>
      <sz val="11.0"/>
      <color rgb="FF0000FF"/>
      <name val="Calibri"/>
    </font>
    <font>
      <u/>
      <sz val="11.0"/>
      <color rgb="FF0000FF"/>
      <name val="Calibri"/>
    </font>
    <font>
      <u/>
      <color rgb="FF0000FF"/>
    </font>
    <font>
      <u/>
      <sz val="12.0"/>
      <color rgb="FF333333"/>
      <name val="Arial"/>
    </font>
    <font>
      <u/>
      <sz val="11.0"/>
      <color rgb="FF0000FF"/>
      <name val="Calibri"/>
    </font>
    <font>
      <u/>
      <sz val="12.0"/>
      <color rgb="FF0000FF"/>
      <name val="-apple-system"/>
    </font>
    <font>
      <u/>
      <sz val="11.0"/>
      <color rgb="FF0000FF"/>
      <name val="&quot;Open Sans&quot;"/>
    </font>
    <font>
      <u/>
      <sz val="11.0"/>
      <color rgb="FF0000FF"/>
      <name val="Consolas"/>
    </font>
    <font>
      <u/>
      <sz val="11.0"/>
      <color rgb="FF000000"/>
      <name val="Calibri"/>
    </font>
  </fonts>
  <fills count="7">
    <fill>
      <patternFill patternType="none"/>
    </fill>
    <fill>
      <patternFill patternType="lightGray"/>
    </fill>
    <fill>
      <patternFill patternType="solid">
        <fgColor rgb="FFA9D08E"/>
        <bgColor rgb="FFA9D08E"/>
      </patternFill>
    </fill>
    <fill>
      <patternFill patternType="solid">
        <fgColor rgb="FFFFFFFF"/>
        <bgColor rgb="FFFFFFFF"/>
      </patternFill>
    </fill>
    <fill>
      <patternFill patternType="solid">
        <fgColor rgb="FFD9EAD3"/>
        <bgColor rgb="FFD9EAD3"/>
      </patternFill>
    </fill>
    <fill>
      <patternFill patternType="solid">
        <fgColor rgb="FFF4CCCC"/>
        <bgColor rgb="FFF4CCCC"/>
      </patternFill>
    </fill>
    <fill>
      <patternFill patternType="solid">
        <fgColor rgb="FFFCFCFC"/>
        <bgColor rgb="FFFCFCFC"/>
      </patternFill>
    </fill>
  </fills>
  <borders count="4">
    <border/>
    <border>
      <top style="thin">
        <color rgb="FFA9D08E"/>
      </top>
      <bottom style="thin">
        <color rgb="FFA9D08E"/>
      </bottom>
    </border>
    <border>
      <bottom style="thin">
        <color rgb="FFA9D08E"/>
      </bottom>
    </border>
    <border>
      <left style="thin">
        <color rgb="FFA9D08E"/>
      </left>
      <top style="thin">
        <color rgb="FFA9D08E"/>
      </top>
      <bottom style="thin">
        <color rgb="FFA9D08E"/>
      </bottom>
    </border>
  </borders>
  <cellStyleXfs count="1">
    <xf borderId="0" fillId="0" fontId="0" numFmtId="0" applyAlignment="1" applyFont="1"/>
  </cellStyleXfs>
  <cellXfs count="116">
    <xf borderId="0" fillId="0" fontId="0" numFmtId="0" xfId="0" applyAlignment="1" applyFont="1">
      <alignment readingOrder="0" shrinkToFit="0" vertical="bottom" wrapText="0"/>
    </xf>
    <xf borderId="0" fillId="0" fontId="1" numFmtId="0" xfId="0" applyAlignment="1" applyFont="1">
      <alignment horizontal="center" readingOrder="0" vertical="bottom"/>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shrinkToFit="0" vertical="bottom" wrapText="1"/>
    </xf>
    <xf borderId="0" fillId="0" fontId="4" numFmtId="0" xfId="0" applyAlignment="1" applyFont="1">
      <alignment shrinkToFit="0" vertical="bottom" wrapText="1"/>
    </xf>
    <xf borderId="0" fillId="0" fontId="4" numFmtId="0" xfId="0" applyAlignment="1" applyFont="1">
      <alignment horizontal="right" vertical="bottom"/>
    </xf>
    <xf borderId="0" fillId="0" fontId="4" numFmtId="0" xfId="0" applyAlignment="1" applyFont="1">
      <alignment vertical="bottom"/>
    </xf>
    <xf borderId="0" fillId="0" fontId="5" numFmtId="0" xfId="0" applyAlignment="1" applyFont="1">
      <alignment vertical="bottom"/>
    </xf>
    <xf borderId="0" fillId="0" fontId="4" numFmtId="0" xfId="0" applyAlignment="1" applyFont="1">
      <alignment readingOrder="0" vertical="bottom"/>
    </xf>
    <xf borderId="0" fillId="0" fontId="4" numFmtId="0" xfId="0" applyAlignment="1" applyFont="1">
      <alignment vertical="bottom"/>
    </xf>
    <xf borderId="0" fillId="0" fontId="4" numFmtId="0" xfId="0" applyAlignment="1" applyFont="1">
      <alignment horizontal="right" vertical="bottom"/>
    </xf>
    <xf borderId="0" fillId="0" fontId="6" numFmtId="0" xfId="0" applyAlignment="1" applyFont="1">
      <alignment vertical="bottom"/>
    </xf>
    <xf borderId="0" fillId="0" fontId="4" numFmtId="0" xfId="0" applyAlignment="1" applyFont="1">
      <alignment readingOrder="0"/>
    </xf>
    <xf borderId="0" fillId="0" fontId="7" numFmtId="0" xfId="0" applyAlignment="1" applyFont="1">
      <alignment shrinkToFit="0" vertical="bottom" wrapText="1"/>
    </xf>
    <xf borderId="0" fillId="0" fontId="7" numFmtId="0" xfId="0" applyAlignment="1" applyFont="1">
      <alignment horizontal="right" vertical="bottom"/>
    </xf>
    <xf borderId="0" fillId="0" fontId="7" numFmtId="0" xfId="0" applyAlignment="1" applyFont="1">
      <alignment vertical="bottom"/>
    </xf>
    <xf borderId="0" fillId="0" fontId="8" numFmtId="0" xfId="0" applyAlignment="1" applyFont="1">
      <alignment vertical="bottom"/>
    </xf>
    <xf borderId="0" fillId="0" fontId="9" numFmtId="0" xfId="0" applyAlignment="1" applyFont="1">
      <alignment readingOrder="0"/>
    </xf>
    <xf borderId="0" fillId="0" fontId="10" numFmtId="0" xfId="0" applyAlignment="1" applyFont="1">
      <alignment vertical="bottom"/>
    </xf>
    <xf borderId="0" fillId="0" fontId="10" numFmtId="0" xfId="0" applyAlignment="1" applyFont="1">
      <alignment horizontal="right" vertical="bottom"/>
    </xf>
    <xf borderId="0" fillId="0" fontId="11" numFmtId="0" xfId="0" applyAlignment="1" applyFont="1">
      <alignment vertical="bottom"/>
    </xf>
    <xf borderId="0" fillId="0" fontId="10" numFmtId="0" xfId="0" applyAlignment="1" applyFont="1">
      <alignment readingOrder="0" vertical="bottom"/>
    </xf>
    <xf borderId="0" fillId="0" fontId="10" numFmtId="0" xfId="0" applyAlignment="1" applyFont="1">
      <alignment horizontal="right" readingOrder="0" vertical="bottom"/>
    </xf>
    <xf borderId="0" fillId="0" fontId="12" numFmtId="0" xfId="0" applyAlignment="1" applyFont="1">
      <alignment readingOrder="0" vertical="bottom"/>
    </xf>
    <xf borderId="0" fillId="2" fontId="1" numFmtId="0" xfId="0" applyAlignment="1" applyFill="1" applyFont="1">
      <alignment horizontal="center" readingOrder="0" vertical="bottom"/>
    </xf>
    <xf borderId="0" fillId="2" fontId="2" numFmtId="0" xfId="0" applyAlignment="1" applyFont="1">
      <alignment horizontal="center" readingOrder="0"/>
    </xf>
    <xf borderId="0" fillId="2" fontId="3" numFmtId="0" xfId="0" applyFont="1"/>
    <xf borderId="0" fillId="2" fontId="3" numFmtId="0" xfId="0" applyAlignment="1" applyFont="1">
      <alignment horizontal="left" readingOrder="0"/>
    </xf>
    <xf borderId="0" fillId="2" fontId="13" numFmtId="0" xfId="0" applyAlignment="1" applyFont="1">
      <alignment horizontal="left" readingOrder="0" vertical="bottom"/>
    </xf>
    <xf borderId="0" fillId="2" fontId="14" numFmtId="0" xfId="0" applyAlignment="1" applyFont="1">
      <alignment horizontal="left" readingOrder="0" vertical="bottom"/>
    </xf>
    <xf borderId="0" fillId="2" fontId="10" numFmtId="0" xfId="0" applyAlignment="1" applyFont="1">
      <alignment horizontal="left" readingOrder="0" vertical="bottom"/>
    </xf>
    <xf borderId="0" fillId="2" fontId="3" numFmtId="0" xfId="0" applyAlignment="1" applyFont="1">
      <alignment horizontal="left"/>
    </xf>
    <xf borderId="0" fillId="0" fontId="3" numFmtId="0" xfId="0" applyAlignment="1" applyFont="1">
      <alignment horizontal="left"/>
    </xf>
    <xf borderId="0" fillId="0" fontId="2" numFmtId="0" xfId="0" applyAlignment="1" applyFont="1">
      <alignment horizontal="center" readingOrder="0"/>
    </xf>
    <xf borderId="0" fillId="0" fontId="15" numFmtId="0" xfId="0" applyAlignment="1" applyFont="1">
      <alignment readingOrder="0" shrinkToFit="0" wrapText="0"/>
    </xf>
    <xf borderId="0" fillId="0" fontId="16" numFmtId="0" xfId="0" applyAlignment="1" applyFont="1">
      <alignment readingOrder="0" shrinkToFit="0" wrapText="0"/>
    </xf>
    <xf borderId="0" fillId="3" fontId="17" numFmtId="0" xfId="0" applyAlignment="1" applyFill="1" applyFont="1">
      <alignment readingOrder="0"/>
    </xf>
    <xf borderId="0" fillId="0" fontId="3" numFmtId="0" xfId="0" applyAlignment="1" applyFont="1">
      <alignment horizontal="left" readingOrder="0"/>
    </xf>
    <xf borderId="0" fillId="0" fontId="3" numFmtId="0" xfId="0" applyAlignment="1" applyFont="1">
      <alignment horizontal="right" readingOrder="0"/>
    </xf>
    <xf borderId="0" fillId="0" fontId="18" numFmtId="0" xfId="0" applyAlignment="1" applyFont="1">
      <alignment horizontal="left" readingOrder="0"/>
    </xf>
    <xf borderId="0" fillId="2" fontId="3" numFmtId="0" xfId="0" applyAlignment="1" applyFont="1">
      <alignment horizontal="right" readingOrder="0"/>
    </xf>
    <xf borderId="0" fillId="2" fontId="19" numFmtId="0" xfId="0" applyAlignment="1" applyFont="1">
      <alignment horizontal="left" readingOrder="0"/>
    </xf>
    <xf borderId="0" fillId="2" fontId="3" numFmtId="0" xfId="0" applyAlignment="1" applyFont="1">
      <alignment readingOrder="0"/>
    </xf>
    <xf borderId="0" fillId="0" fontId="3" numFmtId="0" xfId="0" applyAlignment="1" applyFont="1">
      <alignment readingOrder="0"/>
    </xf>
    <xf borderId="0" fillId="0" fontId="20" numFmtId="0" xfId="0" applyAlignment="1" applyFont="1">
      <alignment readingOrder="0"/>
    </xf>
    <xf borderId="1" fillId="0" fontId="21" numFmtId="0" xfId="0" applyAlignment="1" applyBorder="1" applyFont="1">
      <alignment readingOrder="0" shrinkToFit="0" vertical="bottom" wrapText="0"/>
    </xf>
    <xf borderId="0" fillId="0" fontId="1" numFmtId="0" xfId="0" applyAlignment="1" applyFont="1">
      <alignment vertical="bottom"/>
    </xf>
    <xf borderId="0" fillId="0" fontId="1" numFmtId="0" xfId="0" applyAlignment="1" applyFont="1">
      <alignment readingOrder="0" shrinkToFit="0" vertical="bottom" wrapText="0"/>
    </xf>
    <xf borderId="0" fillId="4" fontId="22" numFmtId="0" xfId="0" applyAlignment="1" applyFill="1" applyFont="1">
      <alignment vertical="bottom"/>
    </xf>
    <xf borderId="0" fillId="4" fontId="22" numFmtId="0" xfId="0" applyAlignment="1" applyFont="1">
      <alignment readingOrder="0" vertical="bottom"/>
    </xf>
    <xf borderId="0" fillId="5" fontId="22" numFmtId="0" xfId="0" applyAlignment="1" applyFill="1" applyFont="1">
      <alignment vertical="bottom"/>
    </xf>
    <xf borderId="0" fillId="5" fontId="22" numFmtId="0" xfId="0" applyAlignment="1" applyFont="1">
      <alignment readingOrder="0" vertical="bottom"/>
    </xf>
    <xf borderId="0" fillId="0" fontId="22" numFmtId="0" xfId="0" applyAlignment="1" applyFont="1">
      <alignment vertical="bottom"/>
    </xf>
    <xf borderId="0" fillId="3" fontId="23" numFmtId="0" xfId="0" applyAlignment="1" applyFont="1">
      <alignment readingOrder="0"/>
    </xf>
    <xf borderId="0" fillId="4" fontId="10" numFmtId="0" xfId="0" applyAlignment="1" applyFont="1">
      <alignment readingOrder="0" vertical="bottom"/>
    </xf>
    <xf borderId="0" fillId="4" fontId="10" numFmtId="0" xfId="0" applyAlignment="1" applyFont="1">
      <alignment vertical="bottom"/>
    </xf>
    <xf borderId="0" fillId="5" fontId="10" numFmtId="0" xfId="0" applyAlignment="1" applyFont="1">
      <alignment vertical="bottom"/>
    </xf>
    <xf borderId="0" fillId="5" fontId="3" numFmtId="0" xfId="0" applyFont="1"/>
    <xf borderId="0" fillId="5" fontId="3" numFmtId="0" xfId="0" applyAlignment="1" applyFont="1">
      <alignment readingOrder="0"/>
    </xf>
    <xf borderId="0" fillId="4" fontId="3" numFmtId="0" xfId="0" applyFont="1"/>
    <xf borderId="0" fillId="4" fontId="3" numFmtId="0" xfId="0" applyAlignment="1" applyFont="1">
      <alignment readingOrder="0"/>
    </xf>
    <xf borderId="0" fillId="0" fontId="3" numFmtId="0" xfId="0" applyAlignment="1" applyFont="1">
      <alignment shrinkToFit="0" wrapText="0"/>
    </xf>
    <xf borderId="0" fillId="4" fontId="3" numFmtId="0" xfId="0" applyAlignment="1" applyFont="1">
      <alignment readingOrder="0"/>
    </xf>
    <xf borderId="0" fillId="0" fontId="13" numFmtId="0" xfId="0" applyAlignment="1" applyFont="1">
      <alignment horizontal="right" vertical="bottom"/>
    </xf>
    <xf borderId="0" fillId="0" fontId="13" numFmtId="0" xfId="0" applyAlignment="1" applyFont="1">
      <alignment vertical="bottom"/>
    </xf>
    <xf borderId="0" fillId="0" fontId="24" numFmtId="0" xfId="0" applyAlignment="1" applyFont="1">
      <alignment readingOrder="0" shrinkToFit="0" vertical="bottom" wrapText="0"/>
    </xf>
    <xf borderId="0" fillId="0" fontId="3" numFmtId="0" xfId="0" applyAlignment="1" applyFont="1">
      <alignment readingOrder="0" shrinkToFit="0" wrapText="0"/>
    </xf>
    <xf borderId="0" fillId="0" fontId="25" numFmtId="0" xfId="0" applyAlignment="1" applyFont="1">
      <alignment readingOrder="0"/>
    </xf>
    <xf borderId="0" fillId="0" fontId="26" numFmtId="0" xfId="0" applyAlignment="1" applyFont="1">
      <alignment readingOrder="0" shrinkToFit="0" wrapText="0"/>
    </xf>
    <xf borderId="0" fillId="3" fontId="27" numFmtId="0" xfId="0" applyAlignment="1" applyFont="1">
      <alignment readingOrder="0"/>
    </xf>
    <xf borderId="0" fillId="3" fontId="28" numFmtId="0" xfId="0" applyAlignment="1" applyFont="1">
      <alignment readingOrder="0"/>
    </xf>
    <xf borderId="0" fillId="3" fontId="29" numFmtId="0" xfId="0" applyAlignment="1" applyFont="1">
      <alignment readingOrder="0"/>
    </xf>
    <xf borderId="0" fillId="0" fontId="3" numFmtId="164" xfId="0" applyAlignment="1" applyFont="1" applyNumberFormat="1">
      <alignment readingOrder="0"/>
    </xf>
    <xf borderId="0" fillId="0" fontId="30" numFmtId="0" xfId="0" applyAlignment="1" applyFont="1">
      <alignment horizontal="left" readingOrder="0"/>
    </xf>
    <xf borderId="0" fillId="0" fontId="31" numFmtId="0" xfId="0" applyAlignment="1" applyFont="1">
      <alignment readingOrder="0"/>
    </xf>
    <xf borderId="0" fillId="3" fontId="32" numFmtId="0" xfId="0" applyAlignment="1" applyFont="1">
      <alignment readingOrder="0"/>
    </xf>
    <xf borderId="0" fillId="3" fontId="33" numFmtId="0" xfId="0" applyAlignment="1" applyFont="1">
      <alignment readingOrder="0"/>
    </xf>
    <xf borderId="0" fillId="0" fontId="3" numFmtId="0" xfId="0" applyAlignment="1" applyFont="1">
      <alignment readingOrder="0"/>
    </xf>
    <xf borderId="0" fillId="4" fontId="34" numFmtId="0" xfId="0" applyAlignment="1" applyFont="1">
      <alignment readingOrder="0"/>
    </xf>
    <xf borderId="0" fillId="5" fontId="2" numFmtId="0" xfId="0" applyAlignment="1" applyFont="1">
      <alignment readingOrder="0"/>
    </xf>
    <xf borderId="0" fillId="0" fontId="22" numFmtId="0" xfId="0" applyAlignment="1" applyFont="1">
      <alignment readingOrder="0" vertical="bottom"/>
    </xf>
    <xf borderId="1" fillId="0" fontId="13" numFmtId="0" xfId="0" applyAlignment="1" applyBorder="1" applyFont="1">
      <alignment readingOrder="0" shrinkToFit="0" vertical="bottom" wrapText="0"/>
    </xf>
    <xf borderId="1" fillId="0" fontId="13" numFmtId="0" xfId="0" applyAlignment="1" applyBorder="1" applyFont="1">
      <alignment horizontal="right" readingOrder="0" shrinkToFit="0" vertical="bottom" wrapText="0"/>
    </xf>
    <xf borderId="1" fillId="0" fontId="35" numFmtId="0" xfId="0" applyAlignment="1" applyBorder="1" applyFont="1">
      <alignment readingOrder="0" shrinkToFit="0" vertical="bottom" wrapText="0"/>
    </xf>
    <xf borderId="0" fillId="0" fontId="3" numFmtId="0" xfId="0" applyFont="1"/>
    <xf borderId="2" fillId="0" fontId="36" numFmtId="0" xfId="0" applyAlignment="1" applyBorder="1" applyFont="1">
      <alignment readingOrder="0" shrinkToFit="0" vertical="bottom" wrapText="0"/>
    </xf>
    <xf borderId="0" fillId="0" fontId="3" numFmtId="165" xfId="0" applyAlignment="1" applyFont="1" applyNumberFormat="1">
      <alignment readingOrder="0"/>
    </xf>
    <xf borderId="2" fillId="0" fontId="37" numFmtId="0" xfId="0" applyAlignment="1" applyBorder="1" applyFont="1">
      <alignment readingOrder="0" shrinkToFit="0" vertical="bottom" wrapText="0"/>
    </xf>
    <xf borderId="0" fillId="0" fontId="38" numFmtId="0" xfId="0" applyAlignment="1" applyFont="1">
      <alignment readingOrder="0" shrinkToFit="0" vertical="bottom" wrapText="0"/>
    </xf>
    <xf borderId="1" fillId="0" fontId="13" numFmtId="0" xfId="0" applyAlignment="1" applyBorder="1" applyFont="1">
      <alignment shrinkToFit="0" vertical="bottom" wrapText="0"/>
    </xf>
    <xf borderId="1" fillId="0" fontId="39" numFmtId="0" xfId="0" applyAlignment="1" applyBorder="1" applyFont="1">
      <alignment readingOrder="0" shrinkToFit="0" vertical="bottom" wrapText="0"/>
    </xf>
    <xf borderId="2" fillId="0" fontId="40" numFmtId="0" xfId="0" applyAlignment="1" applyBorder="1" applyFont="1">
      <alignment readingOrder="0" shrinkToFit="0" wrapText="0"/>
    </xf>
    <xf borderId="0" fillId="0" fontId="41" numFmtId="0" xfId="0" applyAlignment="1" applyFont="1">
      <alignment readingOrder="0" shrinkToFit="0" vertical="bottom" wrapText="0"/>
    </xf>
    <xf borderId="2" fillId="0" fontId="42" numFmtId="0" xfId="0" applyAlignment="1" applyBorder="1" applyFont="1">
      <alignment readingOrder="0" shrinkToFit="0" wrapText="0"/>
    </xf>
    <xf borderId="1" fillId="0" fontId="43" numFmtId="0" xfId="0" applyAlignment="1" applyBorder="1" applyFont="1">
      <alignment shrinkToFit="0" vertical="bottom" wrapText="0"/>
    </xf>
    <xf borderId="2" fillId="0" fontId="44" numFmtId="0" xfId="0" applyAlignment="1" applyBorder="1" applyFont="1">
      <alignment shrinkToFit="0" vertical="bottom" wrapText="0"/>
    </xf>
    <xf borderId="2" fillId="0" fontId="3" numFmtId="0" xfId="0" applyAlignment="1" applyBorder="1" applyFont="1">
      <alignment readingOrder="0" shrinkToFit="0" wrapText="0"/>
    </xf>
    <xf borderId="2" fillId="0" fontId="13" numFmtId="0" xfId="0" applyAlignment="1" applyBorder="1" applyFont="1">
      <alignment shrinkToFit="0" vertical="bottom" wrapText="0"/>
    </xf>
    <xf borderId="0" fillId="0" fontId="13" numFmtId="0" xfId="0" applyAlignment="1" applyFont="1">
      <alignment readingOrder="0" shrinkToFit="0" vertical="bottom" wrapText="0"/>
    </xf>
    <xf borderId="0" fillId="0" fontId="45" numFmtId="0" xfId="0" applyAlignment="1" applyFont="1">
      <alignment shrinkToFit="0" vertical="bottom" wrapText="0"/>
    </xf>
    <xf borderId="2" fillId="0" fontId="46" numFmtId="0" xfId="0" applyAlignment="1" applyBorder="1" applyFont="1">
      <alignment readingOrder="0" shrinkToFit="0" vertical="bottom" wrapText="0"/>
    </xf>
    <xf borderId="1" fillId="0" fontId="47" numFmtId="0" xfId="0" applyAlignment="1" applyBorder="1" applyFont="1">
      <alignment readingOrder="0" shrinkToFit="0" wrapText="0"/>
    </xf>
    <xf borderId="0" fillId="6" fontId="48" numFmtId="0" xfId="0" applyAlignment="1" applyFill="1" applyFont="1">
      <alignment horizontal="left" readingOrder="0"/>
    </xf>
    <xf borderId="1" fillId="0" fontId="49" numFmtId="0" xfId="0" applyAlignment="1" applyBorder="1" applyFont="1">
      <alignment readingOrder="0" shrinkToFit="0" vertical="bottom" wrapText="0"/>
    </xf>
    <xf borderId="2" fillId="0" fontId="50" numFmtId="0" xfId="0" applyAlignment="1" applyBorder="1" applyFont="1">
      <alignment horizontal="left" readingOrder="0" shrinkToFit="0" wrapText="0"/>
    </xf>
    <xf borderId="2" fillId="0" fontId="51" numFmtId="0" xfId="0" applyAlignment="1" applyBorder="1" applyFont="1">
      <alignment readingOrder="0" shrinkToFit="0" wrapText="0"/>
    </xf>
    <xf borderId="1" fillId="0" fontId="52" numFmtId="0" xfId="0" applyAlignment="1" applyBorder="1" applyFont="1">
      <alignment readingOrder="0" shrinkToFit="0" wrapText="0"/>
    </xf>
    <xf borderId="2" fillId="0" fontId="53" numFmtId="0" xfId="0" applyAlignment="1" applyBorder="1" applyFont="1">
      <alignment readingOrder="0" shrinkToFit="0" vertical="bottom" wrapText="0"/>
    </xf>
    <xf borderId="3" fillId="0" fontId="21" numFmtId="0" xfId="0" applyAlignment="1" applyBorder="1" applyFont="1">
      <alignment readingOrder="0" shrinkToFit="0" vertical="bottom" wrapText="0"/>
    </xf>
    <xf borderId="1" fillId="0" fontId="21" numFmtId="0" xfId="0" applyAlignment="1" applyBorder="1" applyFont="1">
      <alignment horizontal="right" readingOrder="0" shrinkToFit="0" vertical="bottom" wrapText="0"/>
    </xf>
    <xf borderId="1" fillId="4" fontId="21" numFmtId="0" xfId="0" applyAlignment="1" applyBorder="1" applyFont="1">
      <alignment shrinkToFit="0" vertical="bottom" wrapText="0"/>
    </xf>
    <xf borderId="1" fillId="5" fontId="21" numFmtId="0" xfId="0" applyAlignment="1" applyBorder="1" applyFont="1">
      <alignment shrinkToFit="0" vertical="bottom" wrapText="0"/>
    </xf>
    <xf borderId="1" fillId="0" fontId="21" numFmtId="0" xfId="0" applyAlignment="1" applyBorder="1" applyFont="1">
      <alignment shrinkToFit="0" vertical="bottom" wrapText="0"/>
    </xf>
    <xf borderId="1" fillId="4" fontId="21" numFmtId="0" xfId="0" applyAlignment="1" applyBorder="1" applyFont="1">
      <alignment readingOrder="0" shrinkToFit="0" vertical="bottom" wrapText="0"/>
    </xf>
    <xf borderId="0" fillId="0" fontId="3"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doi.org/10.1145/3019612.3019653" TargetMode="External"/><Relationship Id="rId22" Type="http://schemas.openxmlformats.org/officeDocument/2006/relationships/hyperlink" Target="http://doi.org/10.1109/CEET1.2019.8711846" TargetMode="External"/><Relationship Id="rId21" Type="http://schemas.openxmlformats.org/officeDocument/2006/relationships/hyperlink" Target="http://doi.org/10.1109/ICRA48506.2021.9560876" TargetMode="External"/><Relationship Id="rId24" Type="http://schemas.openxmlformats.org/officeDocument/2006/relationships/hyperlink" Target="https://doi.org/10.1109/IRC.2018.00027" TargetMode="External"/><Relationship Id="rId23" Type="http://schemas.openxmlformats.org/officeDocument/2006/relationships/hyperlink" Target="https://www.joanneum.at/fileadmin/ROBOTICS/ARW_Proceedings/2017_ARW-Proceedings.pdf" TargetMode="External"/><Relationship Id="rId1" Type="http://schemas.openxmlformats.org/officeDocument/2006/relationships/hyperlink" Target="https://doi.org/10.1016/j.sysarc.2012.12.001" TargetMode="External"/><Relationship Id="rId2" Type="http://schemas.openxmlformats.org/officeDocument/2006/relationships/hyperlink" Target="https://doi.org/10.1007/978-3-319-48992-6_8" TargetMode="External"/><Relationship Id="rId3" Type="http://schemas.openxmlformats.org/officeDocument/2006/relationships/hyperlink" Target="https://doi.org/10.1109/IROS.2017.8206440" TargetMode="External"/><Relationship Id="rId4" Type="http://schemas.openxmlformats.org/officeDocument/2006/relationships/hyperlink" Target="https://doi.org/10.1109/IROS.2014.6942765" TargetMode="External"/><Relationship Id="rId9" Type="http://schemas.openxmlformats.org/officeDocument/2006/relationships/hyperlink" Target="https://doi.org/10.1109/IROS45743.2020.9341427" TargetMode="External"/><Relationship Id="rId26" Type="http://schemas.openxmlformats.org/officeDocument/2006/relationships/hyperlink" Target="https://doi.org/10.1109/IRC52146.2021.00019" TargetMode="External"/><Relationship Id="rId25" Type="http://schemas.openxmlformats.org/officeDocument/2006/relationships/hyperlink" Target="https://doi.org/10.1109/SIMPAR.2016.7862379" TargetMode="External"/><Relationship Id="rId28" Type="http://schemas.openxmlformats.org/officeDocument/2006/relationships/hyperlink" Target="https://doi.org/10.1109/SEAMS59076.2023.00031" TargetMode="External"/><Relationship Id="rId27" Type="http://schemas.openxmlformats.org/officeDocument/2006/relationships/hyperlink" Target="https://doi.org/10.1016/j.ifacol.2016.07.765" TargetMode="External"/><Relationship Id="rId5" Type="http://schemas.openxmlformats.org/officeDocument/2006/relationships/hyperlink" Target="https://doi.org/10.1145/3387939.3391591" TargetMode="External"/><Relationship Id="rId6" Type="http://schemas.openxmlformats.org/officeDocument/2006/relationships/hyperlink" Target="https://doi.org/10.1109/IRC.2017.47" TargetMode="External"/><Relationship Id="rId29" Type="http://schemas.openxmlformats.org/officeDocument/2006/relationships/hyperlink" Target="https://doi.org/10.1109/ACCESS.2022.3175505" TargetMode="External"/><Relationship Id="rId7" Type="http://schemas.openxmlformats.org/officeDocument/2006/relationships/hyperlink" Target="https://doi.org/10.1109/SEAMS.2015.21" TargetMode="External"/><Relationship Id="rId8" Type="http://schemas.openxmlformats.org/officeDocument/2006/relationships/hyperlink" Target="https://doi.org/10.1109/ICRA.2013.6630618" TargetMode="External"/><Relationship Id="rId31" Type="http://schemas.openxmlformats.org/officeDocument/2006/relationships/hyperlink" Target="https://doi.org/10.1109/ICAI55857.2022.9960094" TargetMode="External"/><Relationship Id="rId30" Type="http://schemas.openxmlformats.org/officeDocument/2006/relationships/hyperlink" Target="https://doi.org/10.1016/j.robot.2023.104470" TargetMode="External"/><Relationship Id="rId11" Type="http://schemas.openxmlformats.org/officeDocument/2006/relationships/hyperlink" Target="https://doi.org/10.1016/j.sysarc.2020.101838" TargetMode="External"/><Relationship Id="rId33" Type="http://schemas.openxmlformats.org/officeDocument/2006/relationships/hyperlink" Target="https://doi.org/10.1109/simpar.2016.7862375" TargetMode="External"/><Relationship Id="rId10" Type="http://schemas.openxmlformats.org/officeDocument/2006/relationships/hyperlink" Target="https://doi.org/10.1109/IROS.2015.7353608" TargetMode="External"/><Relationship Id="rId32" Type="http://schemas.openxmlformats.org/officeDocument/2006/relationships/hyperlink" Target="https://doi.org/10.1145/2025113.2025147" TargetMode="External"/><Relationship Id="rId13" Type="http://schemas.openxmlformats.org/officeDocument/2006/relationships/hyperlink" Target="https://doi.org/10.1145/2304736.2304742" TargetMode="External"/><Relationship Id="rId35" Type="http://schemas.openxmlformats.org/officeDocument/2006/relationships/hyperlink" Target="https://doi.org/10.1109/seams.2019.00015" TargetMode="External"/><Relationship Id="rId12" Type="http://schemas.openxmlformats.org/officeDocument/2006/relationships/hyperlink" Target="https://doi.org/10.1109/IROS.2015.7353731" TargetMode="External"/><Relationship Id="rId34" Type="http://schemas.openxmlformats.org/officeDocument/2006/relationships/hyperlink" Target="https://doi.org/10.1109/ssrr.2012.6523874" TargetMode="External"/><Relationship Id="rId15" Type="http://schemas.openxmlformats.org/officeDocument/2006/relationships/hyperlink" Target="https://doi.org/10.1109/IRC.2020.00047" TargetMode="External"/><Relationship Id="rId37" Type="http://schemas.openxmlformats.org/officeDocument/2006/relationships/hyperlink" Target="https://doi.org/10.1007/978-3-642-38484-4_31" TargetMode="External"/><Relationship Id="rId14" Type="http://schemas.openxmlformats.org/officeDocument/2006/relationships/hyperlink" Target="https://doi.org/10.1109/TSE.2013.36" TargetMode="External"/><Relationship Id="rId36" Type="http://schemas.openxmlformats.org/officeDocument/2006/relationships/hyperlink" Target="https://doi.org/10.1002/spe.1074" TargetMode="External"/><Relationship Id="rId17" Type="http://schemas.openxmlformats.org/officeDocument/2006/relationships/hyperlink" Target="https://doi.org/10.1016/j.jss.2018.10.051" TargetMode="External"/><Relationship Id="rId16" Type="http://schemas.openxmlformats.org/officeDocument/2006/relationships/hyperlink" Target="https://doi.org/10.1016/j.jss.2016.05.038" TargetMode="External"/><Relationship Id="rId38" Type="http://schemas.openxmlformats.org/officeDocument/2006/relationships/drawing" Target="../drawings/drawing1.xml"/><Relationship Id="rId19" Type="http://schemas.openxmlformats.org/officeDocument/2006/relationships/hyperlink" Target="https://doi.org/10.1109/RoSE52553.2021.00011" TargetMode="External"/><Relationship Id="rId18" Type="http://schemas.openxmlformats.org/officeDocument/2006/relationships/hyperlink" Target="https://doi.org/10.1007/s10514-015-9472-x"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doi.org/10.1145/3629104.3666035" TargetMode="External"/><Relationship Id="rId190" Type="http://schemas.openxmlformats.org/officeDocument/2006/relationships/hyperlink" Target="https://www.theses.fr/2020COAZ4000" TargetMode="External"/><Relationship Id="rId42" Type="http://schemas.openxmlformats.org/officeDocument/2006/relationships/hyperlink" Target="https://doi.org/10.3390/s21041210" TargetMode="External"/><Relationship Id="rId41" Type="http://schemas.openxmlformats.org/officeDocument/2006/relationships/hyperlink" Target="https://doi.org/10.1007/s12369-019-00534-x" TargetMode="External"/><Relationship Id="rId44" Type="http://schemas.openxmlformats.org/officeDocument/2006/relationships/hyperlink" Target="https://doi.org/10.1016/j.sysarc.2019.02.018" TargetMode="External"/><Relationship Id="rId194" Type="http://schemas.openxmlformats.org/officeDocument/2006/relationships/hyperlink" Target="https://doi.org/10.1109/ICRA46639.2022.9811701" TargetMode="External"/><Relationship Id="rId43" Type="http://schemas.openxmlformats.org/officeDocument/2006/relationships/hyperlink" Target="https://doi.org/10.1017/S0269888918000176" TargetMode="External"/><Relationship Id="rId193" Type="http://schemas.openxmlformats.org/officeDocument/2006/relationships/hyperlink" Target="https://doi.org/10.3390/electronics10222850" TargetMode="External"/><Relationship Id="rId46" Type="http://schemas.openxmlformats.org/officeDocument/2006/relationships/hyperlink" Target="https://doi.org/10.1007/s10514-022-10076-3" TargetMode="External"/><Relationship Id="rId192" Type="http://schemas.openxmlformats.org/officeDocument/2006/relationships/hyperlink" Target="https://doi.org/10.1088/1742-6596/1988/1/012036" TargetMode="External"/><Relationship Id="rId45" Type="http://schemas.openxmlformats.org/officeDocument/2006/relationships/hyperlink" Target="https://doi.org/10.1007/s10514-015-9472-x" TargetMode="External"/><Relationship Id="rId191" Type="http://schemas.openxmlformats.org/officeDocument/2006/relationships/hyperlink" Target="https://doi.org/10.1007/s10207-021-00545-8" TargetMode="External"/><Relationship Id="rId48" Type="http://schemas.openxmlformats.org/officeDocument/2006/relationships/hyperlink" Target="https://doi.org/10.1109/DCOSS.2019.00038" TargetMode="External"/><Relationship Id="rId187" Type="http://schemas.openxmlformats.org/officeDocument/2006/relationships/hyperlink" Target="https://repositorio.ufba.br/handle/ri/36787" TargetMode="External"/><Relationship Id="rId47" Type="http://schemas.openxmlformats.org/officeDocument/2006/relationships/hyperlink" Target="https://doi.org/10.1145/3387902.3392622" TargetMode="External"/><Relationship Id="rId186" Type="http://schemas.openxmlformats.org/officeDocument/2006/relationships/hyperlink" Target="https://dx.doi.org/10.2139/ssrn.4098743" TargetMode="External"/><Relationship Id="rId185" Type="http://schemas.openxmlformats.org/officeDocument/2006/relationships/hyperlink" Target="https://tsukuba.repo.nii.ac.jp/record/46993/files/DA08751.pdf" TargetMode="External"/><Relationship Id="rId49" Type="http://schemas.openxmlformats.org/officeDocument/2006/relationships/hyperlink" Target="https://doi.org/10.1109/IROS.2015.7353731" TargetMode="External"/><Relationship Id="rId184" Type="http://schemas.openxmlformats.org/officeDocument/2006/relationships/hyperlink" Target="https://theses.hal.science/tel-03135081/" TargetMode="External"/><Relationship Id="rId189" Type="http://schemas.openxmlformats.org/officeDocument/2006/relationships/hyperlink" Target="https://tsukuba.repo.nii.ac.jp/record/46993/files/DA08751.pdf" TargetMode="External"/><Relationship Id="rId188" Type="http://schemas.openxmlformats.org/officeDocument/2006/relationships/hyperlink" Target="https://theses.hal.science/tel-02294752/" TargetMode="External"/><Relationship Id="rId31" Type="http://schemas.openxmlformats.org/officeDocument/2006/relationships/hyperlink" Target="https://www.proquest.com/openview/c67842b50b097aa6410d753157b3cb3a/1?pq-origsite=gscholar&amp;cbl=18750&amp;diss=y" TargetMode="External"/><Relationship Id="rId30" Type="http://schemas.openxmlformats.org/officeDocument/2006/relationships/hyperlink" Target="https://doi.org/10.1007/978-3-030-40914-2_13" TargetMode="External"/><Relationship Id="rId33" Type="http://schemas.openxmlformats.org/officeDocument/2006/relationships/hyperlink" Target="https://www.elibrary.ru/yllufi" TargetMode="External"/><Relationship Id="rId183" Type="http://schemas.openxmlformats.org/officeDocument/2006/relationships/hyperlink" Target="https://www.proquest.com/openview/7c8ac699698de70e3982af853cbdb929/1?casa_token=la3PYPhwWZMAAAAA:xDD6HIBI7l2Vs3sp-NcBrVhAdQYgvkzF3u6dd9-C55Piyf81WbnacuOtskAPLJLSnzGraOhswvA&amp;cbl=2026366&amp;diss=y&amp;pq-origsite=gscholar&amp;parentSessionId=iMFkH8Qd0UbETyjZilIBtRmVRfJxTB97xyrH%2FiIQf1E%3D" TargetMode="External"/><Relationship Id="rId32" Type="http://schemas.openxmlformats.org/officeDocument/2006/relationships/hyperlink" Target="https://doi.org/10.1145/3555776.3577665" TargetMode="External"/><Relationship Id="rId182" Type="http://schemas.openxmlformats.org/officeDocument/2006/relationships/hyperlink" Target="https://doi.org/10.1016/j.ifacol.2016.07.765" TargetMode="External"/><Relationship Id="rId35" Type="http://schemas.openxmlformats.org/officeDocument/2006/relationships/hyperlink" Target="https://www.elibrary.ru/ypuydj" TargetMode="External"/><Relationship Id="rId181" Type="http://schemas.openxmlformats.org/officeDocument/2006/relationships/hyperlink" Target="https://urn.kb.se/resolve?urn=urn%3Anbn%3Ase%3Alnu%3Adiva-69136" TargetMode="External"/><Relationship Id="rId34" Type="http://schemas.openxmlformats.org/officeDocument/2006/relationships/hyperlink" Target="https://lucris.lub.lu.se/ws/portalfiles/portal/113738030/Thesis_Rasmus_Ros.pdf" TargetMode="External"/><Relationship Id="rId180" Type="http://schemas.openxmlformats.org/officeDocument/2006/relationships/hyperlink" Target="https://doi.org/10.1109/IRC52146.2021.00019" TargetMode="External"/><Relationship Id="rId37" Type="http://schemas.openxmlformats.org/officeDocument/2006/relationships/hyperlink" Target="https://liu.diva-portal.org/smash/record.jsf?pid=diva2%3A1367625&amp;dswid=-7753" TargetMode="External"/><Relationship Id="rId176" Type="http://schemas.openxmlformats.org/officeDocument/2006/relationships/hyperlink" Target="https://doi.org/10.1007/978-3-319-65948-0_4" TargetMode="External"/><Relationship Id="rId36" Type="http://schemas.openxmlformats.org/officeDocument/2006/relationships/hyperlink" Target="https://doi.org/10.48550/arXiv.2201.11625" TargetMode="External"/><Relationship Id="rId175" Type="http://schemas.openxmlformats.org/officeDocument/2006/relationships/hyperlink" Target="https://doi.org/10.1109/IRC.2018.00027" TargetMode="External"/><Relationship Id="rId39" Type="http://schemas.openxmlformats.org/officeDocument/2006/relationships/hyperlink" Target="https://liu.diva-portal.org/smash/record.jsf?pid=diva2%3A1139231&amp;dswid=-3553" TargetMode="External"/><Relationship Id="rId174" Type="http://schemas.openxmlformats.org/officeDocument/2006/relationships/hyperlink" Target="https://doi.org/10.1109/TSE.2017.2738640" TargetMode="External"/><Relationship Id="rId38" Type="http://schemas.openxmlformats.org/officeDocument/2006/relationships/hyperlink" Target="https://hdl.handle.net/10863/25140" TargetMode="External"/><Relationship Id="rId173" Type="http://schemas.openxmlformats.org/officeDocument/2006/relationships/hyperlink" Target="https://purl.stanford.edu/hs838yq9876" TargetMode="External"/><Relationship Id="rId179" Type="http://schemas.openxmlformats.org/officeDocument/2006/relationships/hyperlink" Target="http://dx.doi.org/10.18725/OPARU-48624" TargetMode="External"/><Relationship Id="rId178" Type="http://schemas.openxmlformats.org/officeDocument/2006/relationships/hyperlink" Target="https://doi.org/10.1145/3417990.3421437" TargetMode="External"/><Relationship Id="rId177" Type="http://schemas.openxmlformats.org/officeDocument/2006/relationships/hyperlink" Target="https://doi.org/10.1109/SIMPAR.2016.7862379" TargetMode="External"/><Relationship Id="rId20" Type="http://schemas.openxmlformats.org/officeDocument/2006/relationships/hyperlink" Target="https://doi.org/10.3103/S014641161808031X" TargetMode="External"/><Relationship Id="rId22" Type="http://schemas.openxmlformats.org/officeDocument/2006/relationships/hyperlink" Target="https://www.elibrary.ru/gjzdhc" TargetMode="External"/><Relationship Id="rId21" Type="http://schemas.openxmlformats.org/officeDocument/2006/relationships/hyperlink" Target="https://www.elibrary.ru/yllueq" TargetMode="External"/><Relationship Id="rId24" Type="http://schemas.openxmlformats.org/officeDocument/2006/relationships/hyperlink" Target="https://doi.org/10.1007/978-3-030-59959-1_11" TargetMode="External"/><Relationship Id="rId23" Type="http://schemas.openxmlformats.org/officeDocument/2006/relationships/hyperlink" Target="https://doi.org/10.3390/computers9010012" TargetMode="External"/><Relationship Id="rId26" Type="http://schemas.openxmlformats.org/officeDocument/2006/relationships/hyperlink" Target="https://www.elibrary.ru/uilzpw" TargetMode="External"/><Relationship Id="rId25" Type="http://schemas.openxmlformats.org/officeDocument/2006/relationships/hyperlink" Target="https://doi.org/10.1007/978-3-030-64430-7_1" TargetMode="External"/><Relationship Id="rId28" Type="http://schemas.openxmlformats.org/officeDocument/2006/relationships/hyperlink" Target="https://doi.org/10.1109/FAS-W.2019.00061" TargetMode="External"/><Relationship Id="rId27" Type="http://schemas.openxmlformats.org/officeDocument/2006/relationships/hyperlink" Target="https://www.elibrary.ru/otviqv" TargetMode="External"/><Relationship Id="rId29" Type="http://schemas.openxmlformats.org/officeDocument/2006/relationships/hyperlink" Target="https://doi.org/10.1145/3387940.3391474" TargetMode="External"/><Relationship Id="rId11" Type="http://schemas.openxmlformats.org/officeDocument/2006/relationships/hyperlink" Target="https://ceur-ws.org/Vol-2603/short13.pdf" TargetMode="External"/><Relationship Id="rId10" Type="http://schemas.openxmlformats.org/officeDocument/2006/relationships/hyperlink" Target="https://ceur-ws.org/Vol-2603/short8.pdf" TargetMode="External"/><Relationship Id="rId13" Type="http://schemas.openxmlformats.org/officeDocument/2006/relationships/hyperlink" Target="https://doi.org/10.1134/S1064230720020124" TargetMode="External"/><Relationship Id="rId12" Type="http://schemas.openxmlformats.org/officeDocument/2006/relationships/hyperlink" Target="https://doi.org/10.1016/j.eswa.2018.01.009" TargetMode="External"/><Relationship Id="rId15" Type="http://schemas.openxmlformats.org/officeDocument/2006/relationships/hyperlink" Target="https://doi.org/10.3390/sym14102208" TargetMode="External"/><Relationship Id="rId198" Type="http://schemas.openxmlformats.org/officeDocument/2006/relationships/hyperlink" Target="https://doi.org/10.1504/IJESDF.2022.123846" TargetMode="External"/><Relationship Id="rId14" Type="http://schemas.openxmlformats.org/officeDocument/2006/relationships/hyperlink" Target="https://www.elibrary.ru/ytyofd" TargetMode="External"/><Relationship Id="rId197" Type="http://schemas.openxmlformats.org/officeDocument/2006/relationships/hyperlink" Target="https://doi.org/10.2298/TSCI220805022A" TargetMode="External"/><Relationship Id="rId17" Type="http://schemas.openxmlformats.org/officeDocument/2006/relationships/hyperlink" Target="https://doi.org/10.1109/ICPHYS.2019.8780193" TargetMode="External"/><Relationship Id="rId196" Type="http://schemas.openxmlformats.org/officeDocument/2006/relationships/hyperlink" Target="https://doi.org/10.1109/SANER56733.2023.00113" TargetMode="External"/><Relationship Id="rId16" Type="http://schemas.openxmlformats.org/officeDocument/2006/relationships/hyperlink" Target="https://doi.org/10.1145/2823345" TargetMode="External"/><Relationship Id="rId195" Type="http://schemas.openxmlformats.org/officeDocument/2006/relationships/hyperlink" Target="https://doi.org/10.1016/j.iswa.2023.200237" TargetMode="External"/><Relationship Id="rId19" Type="http://schemas.openxmlformats.org/officeDocument/2006/relationships/hyperlink" Target="http://www.jos.org.cn/josen/article/abstract/6267" TargetMode="External"/><Relationship Id="rId18" Type="http://schemas.openxmlformats.org/officeDocument/2006/relationships/hyperlink" Target="https://doi.org/10.1109/BlackSeaCom.2019.8812826" TargetMode="External"/><Relationship Id="rId199" Type="http://schemas.openxmlformats.org/officeDocument/2006/relationships/hyperlink" Target="http://dx.doi.org/10.2139/ssrn.4201541" TargetMode="External"/><Relationship Id="rId84" Type="http://schemas.openxmlformats.org/officeDocument/2006/relationships/hyperlink" Target="https://doi.org/10.1002/ece3.8063" TargetMode="External"/><Relationship Id="rId83" Type="http://schemas.openxmlformats.org/officeDocument/2006/relationships/hyperlink" Target="https://doi.org/10.3390/molecules24020261" TargetMode="External"/><Relationship Id="rId86" Type="http://schemas.openxmlformats.org/officeDocument/2006/relationships/hyperlink" Target="https://doi.org/10.1007/s11033-020-05567-4" TargetMode="External"/><Relationship Id="rId85" Type="http://schemas.openxmlformats.org/officeDocument/2006/relationships/hyperlink" Target="https://doi.org/10.1007/s10846-018-0967-5" TargetMode="External"/><Relationship Id="rId88" Type="http://schemas.openxmlformats.org/officeDocument/2006/relationships/hyperlink" Target="https://doi.org/10.1016/j.robot.2023.104379" TargetMode="External"/><Relationship Id="rId150" Type="http://schemas.openxmlformats.org/officeDocument/2006/relationships/hyperlink" Target="https://doi.org/10.1142/S0219876221500559" TargetMode="External"/><Relationship Id="rId271" Type="http://schemas.openxmlformats.org/officeDocument/2006/relationships/hyperlink" Target="https://doi.org/10.1109/SMC42975.2020.9283236" TargetMode="External"/><Relationship Id="rId87" Type="http://schemas.openxmlformats.org/officeDocument/2006/relationships/hyperlink" Target="https://doi.org/10.1109/IROS.2018.8594328." TargetMode="External"/><Relationship Id="rId270" Type="http://schemas.openxmlformats.org/officeDocument/2006/relationships/hyperlink" Target="https://doi.org/10.3233/JID190008" TargetMode="External"/><Relationship Id="rId89" Type="http://schemas.openxmlformats.org/officeDocument/2006/relationships/hyperlink" Target="https://doi.org/10.1016/j.robot.2022.104301" TargetMode="External"/><Relationship Id="rId80" Type="http://schemas.openxmlformats.org/officeDocument/2006/relationships/hyperlink" Target="https://etheses.whiterose.ac.uk/29553/1/Yonbawi_203044176_Thesis_v4.pdf" TargetMode="External"/><Relationship Id="rId82" Type="http://schemas.openxmlformats.org/officeDocument/2006/relationships/hyperlink" Target="https://doi.org/10.1109/IRC.2019.00059." TargetMode="External"/><Relationship Id="rId81" Type="http://schemas.openxmlformats.org/officeDocument/2006/relationships/hyperlink" Target="https://doi.org/10.3390/ijms19030716" TargetMode="External"/><Relationship Id="rId1" Type="http://schemas.openxmlformats.org/officeDocument/2006/relationships/hyperlink" Target="https://doi.org/10.1109/TSE.2019.2907595" TargetMode="External"/><Relationship Id="rId2" Type="http://schemas.openxmlformats.org/officeDocument/2006/relationships/hyperlink" Target="http://dx.doi.org/10.26636/jtit.2019.131019" TargetMode="External"/><Relationship Id="rId3" Type="http://schemas.openxmlformats.org/officeDocument/2006/relationships/hyperlink" Target="https://doi.org/10.1145/3469440" TargetMode="External"/><Relationship Id="rId149" Type="http://schemas.openxmlformats.org/officeDocument/2006/relationships/hyperlink" Target="https://hdl.handle.net/1822/75537" TargetMode="External"/><Relationship Id="rId4" Type="http://schemas.openxmlformats.org/officeDocument/2006/relationships/hyperlink" Target="https://doi.org/10.1016/j.infsof.2021.106551" TargetMode="External"/><Relationship Id="rId148" Type="http://schemas.openxmlformats.org/officeDocument/2006/relationships/hyperlink" Target="http://doi.org/10.1109/ROBIO.2014.7090340" TargetMode="External"/><Relationship Id="rId269" Type="http://schemas.openxmlformats.org/officeDocument/2006/relationships/hyperlink" Target="https://doi.org/10.1109/RWEEK.2018.8473542" TargetMode="External"/><Relationship Id="rId9" Type="http://schemas.openxmlformats.org/officeDocument/2006/relationships/hyperlink" Target="https://doi.org/10.1016/j.jss.2018.10.051" TargetMode="External"/><Relationship Id="rId143" Type="http://schemas.openxmlformats.org/officeDocument/2006/relationships/hyperlink" Target="http://doi.org/10.1109/ICRA48506.2021.9560876" TargetMode="External"/><Relationship Id="rId264" Type="http://schemas.openxmlformats.org/officeDocument/2006/relationships/hyperlink" Target="https://doi.org/10.48550/arXiv.2108.00889" TargetMode="External"/><Relationship Id="rId142" Type="http://schemas.openxmlformats.org/officeDocument/2006/relationships/hyperlink" Target="http://doi.org/10.1109/IROS.2017.8202143." TargetMode="External"/><Relationship Id="rId263" Type="http://schemas.openxmlformats.org/officeDocument/2006/relationships/hyperlink" Target="https://doi.org/10.1109/TSE.2018.2880218" TargetMode="External"/><Relationship Id="rId141" Type="http://schemas.openxmlformats.org/officeDocument/2006/relationships/hyperlink" Target="http://www.banerjs.com/pdf/banerjs_aaai2019sss.pdf" TargetMode="External"/><Relationship Id="rId262" Type="http://schemas.openxmlformats.org/officeDocument/2006/relationships/hyperlink" Target="https://doi.org/10.1145/3134844" TargetMode="External"/><Relationship Id="rId140" Type="http://schemas.openxmlformats.org/officeDocument/2006/relationships/hyperlink" Target="https://hal.science/hal-01271568/" TargetMode="External"/><Relationship Id="rId261" Type="http://schemas.openxmlformats.org/officeDocument/2006/relationships/hyperlink" Target="https://doi.org/10.1016/j.future.2024.05.040" TargetMode="External"/><Relationship Id="rId5" Type="http://schemas.openxmlformats.org/officeDocument/2006/relationships/hyperlink" Target="https://doi.org/10.3103/S0146411617080260" TargetMode="External"/><Relationship Id="rId147" Type="http://schemas.openxmlformats.org/officeDocument/2006/relationships/hyperlink" Target="http://hdl.lib.byu.edu/1877/etd12596" TargetMode="External"/><Relationship Id="rId268" Type="http://schemas.openxmlformats.org/officeDocument/2006/relationships/hyperlink" Target="https://doi.org/10.1016/j.infsof.2019.04.003" TargetMode="External"/><Relationship Id="rId6" Type="http://schemas.openxmlformats.org/officeDocument/2006/relationships/hyperlink" Target="https://doi.org/10.3103/S0146411617080272" TargetMode="External"/><Relationship Id="rId146" Type="http://schemas.openxmlformats.org/officeDocument/2006/relationships/hyperlink" Target="http://doi.org/10.1109/QRS-C.2016.44." TargetMode="External"/><Relationship Id="rId267" Type="http://schemas.openxmlformats.org/officeDocument/2006/relationships/hyperlink" Target="https://doi.org/10.1115/1.3124784" TargetMode="External"/><Relationship Id="rId7" Type="http://schemas.openxmlformats.org/officeDocument/2006/relationships/hyperlink" Target="https://doi.org/10.3390/s21227613" TargetMode="External"/><Relationship Id="rId145" Type="http://schemas.openxmlformats.org/officeDocument/2006/relationships/hyperlink" Target="https://citeseerx.ist.psu.edu/document?repid=rep1&amp;type=pdf&amp;doi=819e400a1771d014a4006663c6b87a27f03aa05a" TargetMode="External"/><Relationship Id="rId266" Type="http://schemas.openxmlformats.org/officeDocument/2006/relationships/hyperlink" Target="https://doi.org/10.48550/arXiv.2003.05388" TargetMode="External"/><Relationship Id="rId8" Type="http://schemas.openxmlformats.org/officeDocument/2006/relationships/hyperlink" Target="https://doi.org/10.3103/S0146411618080291" TargetMode="External"/><Relationship Id="rId144" Type="http://schemas.openxmlformats.org/officeDocument/2006/relationships/hyperlink" Target="https://hal.science/tel-01276555/" TargetMode="External"/><Relationship Id="rId265" Type="http://schemas.openxmlformats.org/officeDocument/2006/relationships/hyperlink" Target="https://doi.org/10.1109/FMEC.2017.7946421" TargetMode="External"/><Relationship Id="rId73" Type="http://schemas.openxmlformats.org/officeDocument/2006/relationships/hyperlink" Target="https://arxiv.org/abs/2310.01039" TargetMode="External"/><Relationship Id="rId72" Type="http://schemas.openxmlformats.org/officeDocument/2006/relationships/hyperlink" Target="https://arxiv.org/abs/2404.11498" TargetMode="External"/><Relationship Id="rId75" Type="http://schemas.openxmlformats.org/officeDocument/2006/relationships/hyperlink" Target="https://hdl.handle.net/10125/107293" TargetMode="External"/><Relationship Id="rId74" Type="http://schemas.openxmlformats.org/officeDocument/2006/relationships/hyperlink" Target="https://arxiv.org/abs/2312.10525" TargetMode="External"/><Relationship Id="rId77" Type="http://schemas.openxmlformats.org/officeDocument/2006/relationships/hyperlink" Target="https://doi.org/10.1145/3643915.3644083" TargetMode="External"/><Relationship Id="rId260" Type="http://schemas.openxmlformats.org/officeDocument/2006/relationships/hyperlink" Target="https://doi.org/10.1115/1.4039148" TargetMode="External"/><Relationship Id="rId76" Type="http://schemas.openxmlformats.org/officeDocument/2006/relationships/hyperlink" Target="https://arxiv.org/abs/2209.14041" TargetMode="External"/><Relationship Id="rId79" Type="http://schemas.openxmlformats.org/officeDocument/2006/relationships/hyperlink" Target="https://mediatum.ub.tum.de/1692104" TargetMode="External"/><Relationship Id="rId78" Type="http://schemas.openxmlformats.org/officeDocument/2006/relationships/hyperlink" Target="https://ssrn.com/abstract=4918199" TargetMode="External"/><Relationship Id="rId71" Type="http://schemas.openxmlformats.org/officeDocument/2006/relationships/hyperlink" Target="https://doi.org/10.1007/978-3-031-60698-4_22" TargetMode="External"/><Relationship Id="rId70" Type="http://schemas.openxmlformats.org/officeDocument/2006/relationships/hyperlink" Target="https://doi.org/10.1109/SEAMS59076.2023.00012" TargetMode="External"/><Relationship Id="rId139" Type="http://schemas.openxmlformats.org/officeDocument/2006/relationships/hyperlink" Target="https://doi.org/10.4119/unibi/2932136" TargetMode="External"/><Relationship Id="rId138" Type="http://schemas.openxmlformats.org/officeDocument/2006/relationships/hyperlink" Target="https://doi.org/10.1145/2843966.2843974" TargetMode="External"/><Relationship Id="rId259" Type="http://schemas.openxmlformats.org/officeDocument/2006/relationships/hyperlink" Target="https://doi.org/10.1109/JIOT.2023.3326552" TargetMode="External"/><Relationship Id="rId137" Type="http://schemas.openxmlformats.org/officeDocument/2006/relationships/hyperlink" Target="https://www.ifaamas.org/Proceedings/aamas2021/pdfs/p1845.pdf" TargetMode="External"/><Relationship Id="rId258" Type="http://schemas.openxmlformats.org/officeDocument/2006/relationships/hyperlink" Target="https://doi.org/10.1016/j.jss.2023.111633" TargetMode="External"/><Relationship Id="rId132" Type="http://schemas.openxmlformats.org/officeDocument/2006/relationships/hyperlink" Target="https://doi.org/10.48550/arXiv.2207.12583" TargetMode="External"/><Relationship Id="rId253" Type="http://schemas.openxmlformats.org/officeDocument/2006/relationships/hyperlink" Target="https://doi.org/10.1016/j.robot.2023.104470" TargetMode="External"/><Relationship Id="rId131" Type="http://schemas.openxmlformats.org/officeDocument/2006/relationships/hyperlink" Target="https://doi.org/10.1016/j.ifacol.2016.07.613" TargetMode="External"/><Relationship Id="rId252" Type="http://schemas.openxmlformats.org/officeDocument/2006/relationships/hyperlink" Target="https://doi.org/10.1109/ACCESS.2022.3175505" TargetMode="External"/><Relationship Id="rId130" Type="http://schemas.openxmlformats.org/officeDocument/2006/relationships/hyperlink" Target="https://doi.org/10.1109/TITS.2022.3208829" TargetMode="External"/><Relationship Id="rId251" Type="http://schemas.openxmlformats.org/officeDocument/2006/relationships/hyperlink" Target="https://www.proquest.com/openview/68d293abd707218d638a3040b893679a/1/index" TargetMode="External"/><Relationship Id="rId250" Type="http://schemas.openxmlformats.org/officeDocument/2006/relationships/hyperlink" Target="https://doi.org/10.1109/HPCS.2018.00040" TargetMode="External"/><Relationship Id="rId136" Type="http://schemas.openxmlformats.org/officeDocument/2006/relationships/hyperlink" Target="https://ceur-ws.org/Vol-1507/dx15paper23.pdf" TargetMode="External"/><Relationship Id="rId257" Type="http://schemas.openxmlformats.org/officeDocument/2006/relationships/hyperlink" Target="https://doi.org/10.1145/3652953" TargetMode="External"/><Relationship Id="rId135" Type="http://schemas.openxmlformats.org/officeDocument/2006/relationships/hyperlink" Target="https://doi.org/10.1145/3526071.3527513" TargetMode="External"/><Relationship Id="rId256" Type="http://schemas.openxmlformats.org/officeDocument/2006/relationships/hyperlink" Target="https://doi.org/10.1016/j.infsof.2022.106934" TargetMode="External"/><Relationship Id="rId134" Type="http://schemas.openxmlformats.org/officeDocument/2006/relationships/hyperlink" Target="https://doi.org/10.1016/j.artint.2022.103681" TargetMode="External"/><Relationship Id="rId255" Type="http://schemas.openxmlformats.org/officeDocument/2006/relationships/hyperlink" Target="https://purl.utwente.nl/essays/88761" TargetMode="External"/><Relationship Id="rId133" Type="http://schemas.openxmlformats.org/officeDocument/2006/relationships/hyperlink" Target="https://doi.org/10.1016/j.ins.2022.08.029" TargetMode="External"/><Relationship Id="rId254" Type="http://schemas.openxmlformats.org/officeDocument/2006/relationships/hyperlink" Target="https://doi.org/10.1109/ICAI55857.2022.9960094" TargetMode="External"/><Relationship Id="rId62" Type="http://schemas.openxmlformats.org/officeDocument/2006/relationships/hyperlink" Target="https://doi.org/10.1109/ICSA-C57050.2023.00038" TargetMode="External"/><Relationship Id="rId61" Type="http://schemas.openxmlformats.org/officeDocument/2006/relationships/hyperlink" Target="https://inria.hal.science/hal-03461137" TargetMode="External"/><Relationship Id="rId64" Type="http://schemas.openxmlformats.org/officeDocument/2006/relationships/hyperlink" Target="https://doi.org/10.1109/NTIC55069.2022.10100355" TargetMode="External"/><Relationship Id="rId63" Type="http://schemas.openxmlformats.org/officeDocument/2006/relationships/hyperlink" Target="https://doi.org/10.1109/SEAMS59076.2023.00031" TargetMode="External"/><Relationship Id="rId66" Type="http://schemas.openxmlformats.org/officeDocument/2006/relationships/hyperlink" Target="https://gupea.ub.gu.se/handle/2077/68935" TargetMode="External"/><Relationship Id="rId172" Type="http://schemas.openxmlformats.org/officeDocument/2006/relationships/hyperlink" Target="https://doi.org/10.1109/ACCESS.2024.3355205" TargetMode="External"/><Relationship Id="rId65" Type="http://schemas.openxmlformats.org/officeDocument/2006/relationships/hyperlink" Target="https://eprints.whiterose.ac.uk/191116/" TargetMode="External"/><Relationship Id="rId171" Type="http://schemas.openxmlformats.org/officeDocument/2006/relationships/hyperlink" Target="https://urn.fi/URN:NBN:fi:aalto-202310156406" TargetMode="External"/><Relationship Id="rId68" Type="http://schemas.openxmlformats.org/officeDocument/2006/relationships/hyperlink" Target="https://ieeexplore-ieee-org.tudelft.idm.oclc.org/author/37090076519" TargetMode="External"/><Relationship Id="rId170" Type="http://schemas.openxmlformats.org/officeDocument/2006/relationships/hyperlink" Target="https://doi.org/10.1109/IRC59093.2023.00042" TargetMode="External"/><Relationship Id="rId67" Type="http://schemas.openxmlformats.org/officeDocument/2006/relationships/hyperlink" Target="http://ceur-ws.org/Vol-2978/ds-paper97.pdf" TargetMode="External"/><Relationship Id="rId60" Type="http://schemas.openxmlformats.org/officeDocument/2006/relationships/hyperlink" Target="https://doi.org/10.1016/j.jss.2022.111538" TargetMode="External"/><Relationship Id="rId165" Type="http://schemas.openxmlformats.org/officeDocument/2006/relationships/hyperlink" Target="https://www.joanneum.at/fileadmin/ROBOTICS/ARW_Proceedings/2017_ARW-Proceedings.pdf" TargetMode="External"/><Relationship Id="rId286" Type="http://schemas.openxmlformats.org/officeDocument/2006/relationships/drawing" Target="../drawings/drawing2.xml"/><Relationship Id="rId69" Type="http://schemas.openxmlformats.org/officeDocument/2006/relationships/hyperlink" Target="https://doi.org/10.1109/ASE56229.2023.00172" TargetMode="External"/><Relationship Id="rId164" Type="http://schemas.openxmlformats.org/officeDocument/2006/relationships/hyperlink" Target="https://hal.science/tel-01778171/document" TargetMode="External"/><Relationship Id="rId285" Type="http://schemas.openxmlformats.org/officeDocument/2006/relationships/hyperlink" Target="http://repositorio.furg.br/handle/1/8740" TargetMode="External"/><Relationship Id="rId163" Type="http://schemas.openxmlformats.org/officeDocument/2006/relationships/hyperlink" Target="https://doi.org/10.1007/s10115-014-0754-y" TargetMode="External"/><Relationship Id="rId284" Type="http://schemas.openxmlformats.org/officeDocument/2006/relationships/hyperlink" Target="https://theses.hal.science/tel-03881707/" TargetMode="External"/><Relationship Id="rId162" Type="http://schemas.openxmlformats.org/officeDocument/2006/relationships/hyperlink" Target="https://www.researchgate.net/profile/Jeremie-Guiochet/publication/247640080_State_of_the_Art_on_Dependability_of_Autonomous_Systems/links/5774cdb608ae1b18a7de4a71/State-of-the-Art-on-Dependability-of-Autonomous-Systems.pdf" TargetMode="External"/><Relationship Id="rId283" Type="http://schemas.openxmlformats.org/officeDocument/2006/relationships/hyperlink" Target="https://doi.org/10.1016/j.jss.2016.09.011" TargetMode="External"/><Relationship Id="rId169" Type="http://schemas.openxmlformats.org/officeDocument/2006/relationships/hyperlink" Target="https://doi.org/10.1109/ICSME58846.2023.00030" TargetMode="External"/><Relationship Id="rId168" Type="http://schemas.openxmlformats.org/officeDocument/2006/relationships/hyperlink" Target="https://doi.org/10.1145/3620665.3640425" TargetMode="External"/><Relationship Id="rId167" Type="http://schemas.openxmlformats.org/officeDocument/2006/relationships/hyperlink" Target="https://doi.org/10.48550/arXiv.2308.04161" TargetMode="External"/><Relationship Id="rId166" Type="http://schemas.openxmlformats.org/officeDocument/2006/relationships/hyperlink" Target="https://elibrary.ru/efsfdl" TargetMode="External"/><Relationship Id="rId51" Type="http://schemas.openxmlformats.org/officeDocument/2006/relationships/hyperlink" Target="https://doi.org/10.1177/1729881416663662" TargetMode="External"/><Relationship Id="rId50" Type="http://schemas.openxmlformats.org/officeDocument/2006/relationships/hyperlink" Target="https://api-depositonce.tu-berlin.de/server/api/core/bitstreams/d3df013c-d38e-4fa3-bd54-be1e0dd4e97c/content" TargetMode="External"/><Relationship Id="rId53" Type="http://schemas.openxmlformats.org/officeDocument/2006/relationships/hyperlink" Target="https://doi.org/10.1016/j.jss.2019.02.021" TargetMode="External"/><Relationship Id="rId52" Type="http://schemas.openxmlformats.org/officeDocument/2006/relationships/hyperlink" Target="https://www.researchgate.net/profile/Devaiah-Ulliyada-Arun/publication/362080649_Comparative_Evaluation_of_Error_Recovery_Strategies_for_Robust_Robot_Navigation/links/62d5dbbbbf4b98532233cfbf/Comparative-Evaluation-of-Error-Recovery-Strategies-for-Robust-Robot-Navigation.pdf" TargetMode="External"/><Relationship Id="rId55" Type="http://schemas.openxmlformats.org/officeDocument/2006/relationships/hyperlink" Target="https://search.proquest.com/openview/30e1456e247f7738ae5128bf4e14323e/1?pq-origsite=gscholar&amp;cbl=18750" TargetMode="External"/><Relationship Id="rId161" Type="http://schemas.openxmlformats.org/officeDocument/2006/relationships/hyperlink" Target="https://digitalcommons.unl.edu/computerscidiss/96/" TargetMode="External"/><Relationship Id="rId282" Type="http://schemas.openxmlformats.org/officeDocument/2006/relationships/hyperlink" Target="https://doi.org/10.1109/SMARTCOMP.2018.00029" TargetMode="External"/><Relationship Id="rId54" Type="http://schemas.openxmlformats.org/officeDocument/2006/relationships/hyperlink" Target="https://hdl.handle.net/20.500.12571/9644" TargetMode="External"/><Relationship Id="rId160" Type="http://schemas.openxmlformats.org/officeDocument/2006/relationships/hyperlink" Target="https://www.ais.uni-bonn.de/robocup.de/2016/TDPs/Logistics/RoboCup_2016_Logistics_TDP_GRIPS.pdf" TargetMode="External"/><Relationship Id="rId281" Type="http://schemas.openxmlformats.org/officeDocument/2006/relationships/hyperlink" Target="https://tmce.io.tudelft.nl/pages/2020/proceedings/TMCE2020-ESS-VCS-2.pdf" TargetMode="External"/><Relationship Id="rId57" Type="http://schemas.openxmlformats.org/officeDocument/2006/relationships/hyperlink" Target="https://search.proquest.com/openview/d0fca4c5bb9405be68643cdf5796eb96/1?pq-origsite=gscholar&amp;cbl=2026366&amp;diss=y" TargetMode="External"/><Relationship Id="rId280" Type="http://schemas.openxmlformats.org/officeDocument/2006/relationships/hyperlink" Target="https://doi.org/10.1007/978-3-319-77492-3_18" TargetMode="External"/><Relationship Id="rId56" Type="http://schemas.openxmlformats.org/officeDocument/2006/relationships/hyperlink" Target="https://doi.org/10.1109/ETFA.2015.7301631." TargetMode="External"/><Relationship Id="rId159" Type="http://schemas.openxmlformats.org/officeDocument/2006/relationships/hyperlink" Target="http://hdl.handle.net/2117/120457" TargetMode="External"/><Relationship Id="rId59" Type="http://schemas.openxmlformats.org/officeDocument/2006/relationships/hyperlink" Target="https://doi.org/10.1109/SEAMS51251.2021.00018." TargetMode="External"/><Relationship Id="rId154" Type="http://schemas.openxmlformats.org/officeDocument/2006/relationships/hyperlink" Target="https://www.ehu.eus/documents/3444171/4484745/115.pdf" TargetMode="External"/><Relationship Id="rId275" Type="http://schemas.openxmlformats.org/officeDocument/2006/relationships/hyperlink" Target="https://doi.org/10.1109/DASC.2017.8102033" TargetMode="External"/><Relationship Id="rId58" Type="http://schemas.openxmlformats.org/officeDocument/2006/relationships/hyperlink" Target="https://doi.org/10.1016/j.infsof.2022.106866" TargetMode="External"/><Relationship Id="rId153" Type="http://schemas.openxmlformats.org/officeDocument/2006/relationships/hyperlink" Target="http://doi.org/10.1109/ICCMA51325.2020.9301494." TargetMode="External"/><Relationship Id="rId274" Type="http://schemas.openxmlformats.org/officeDocument/2006/relationships/hyperlink" Target="https://doi.org/10.1007/978-3-319-45892-2_7" TargetMode="External"/><Relationship Id="rId152" Type="http://schemas.openxmlformats.org/officeDocument/2006/relationships/hyperlink" Target="http://doi.org/10.1109/iCREATE.2014.6828347" TargetMode="External"/><Relationship Id="rId273" Type="http://schemas.openxmlformats.org/officeDocument/2006/relationships/hyperlink" Target="https://doi.org/10.1109/PERCOMW.2019.8730577" TargetMode="External"/><Relationship Id="rId151" Type="http://schemas.openxmlformats.org/officeDocument/2006/relationships/hyperlink" Target="http://hdl.handle.net/1853/64758" TargetMode="External"/><Relationship Id="rId272" Type="http://schemas.openxmlformats.org/officeDocument/2006/relationships/hyperlink" Target="http://dx.doi.org/10.2514/1.A33983" TargetMode="External"/><Relationship Id="rId158" Type="http://schemas.openxmlformats.org/officeDocument/2006/relationships/hyperlink" Target="http://doi.org/10.1109/CEET1.2019.8711846." TargetMode="External"/><Relationship Id="rId279" Type="http://schemas.openxmlformats.org/officeDocument/2006/relationships/hyperlink" Target="https://www.taylorfrancis.com/chapters/edit/10.1201/9780429468254-12/strategies-improving-cyber-resilience-data-intensive-business-information-systems-unny-balakrishnan-gaurav-mishra-nityesh-bhatt" TargetMode="External"/><Relationship Id="rId157" Type="http://schemas.openxmlformats.org/officeDocument/2006/relationships/hyperlink" Target="https://doi.org/10.1007/s00502-015-0304-7" TargetMode="External"/><Relationship Id="rId278" Type="http://schemas.openxmlformats.org/officeDocument/2006/relationships/hyperlink" Target="https://www.proquest.com/openview/683061cf4d48c1aa320b2fc3a59ef6c3/" TargetMode="External"/><Relationship Id="rId156" Type="http://schemas.openxmlformats.org/officeDocument/2006/relationships/hyperlink" Target="https://www.researchgate.net/publication/317065837_Remote_Fault_Diagnosis_of_Robots_Using_a_Robotic_Black_Box" TargetMode="External"/><Relationship Id="rId277" Type="http://schemas.openxmlformats.org/officeDocument/2006/relationships/hyperlink" Target="https://core.ac.uk/download/pdf/570973345.pdf" TargetMode="External"/><Relationship Id="rId155" Type="http://schemas.openxmlformats.org/officeDocument/2006/relationships/hyperlink" Target="https://ceur-ws.org/Vol-2289/paper20.pdf" TargetMode="External"/><Relationship Id="rId276" Type="http://schemas.openxmlformats.org/officeDocument/2006/relationships/hyperlink" Target="http://dx.doi.org/10.1145/3008631.3008632" TargetMode="External"/><Relationship Id="rId107" Type="http://schemas.openxmlformats.org/officeDocument/2006/relationships/hyperlink" Target="https://doi.org/10.13052/jwe1540-9589.18131" TargetMode="External"/><Relationship Id="rId228" Type="http://schemas.openxmlformats.org/officeDocument/2006/relationships/hyperlink" Target="https://doi.org/10.1016/j.jss.2016.05.024" TargetMode="External"/><Relationship Id="rId106" Type="http://schemas.openxmlformats.org/officeDocument/2006/relationships/hyperlink" Target="https://doi.org/10.1109/RTSI.2016.7740548." TargetMode="External"/><Relationship Id="rId227" Type="http://schemas.openxmlformats.org/officeDocument/2006/relationships/hyperlink" Target="https://doi.org/10.1145/3464305" TargetMode="External"/><Relationship Id="rId105" Type="http://schemas.openxmlformats.org/officeDocument/2006/relationships/hyperlink" Target="https://doi.org/10.1007/978-3-319-68136-8_1" TargetMode="External"/><Relationship Id="rId226" Type="http://schemas.openxmlformats.org/officeDocument/2006/relationships/hyperlink" Target="https://doi.org/10.1016/j.infsof.2022.106940" TargetMode="External"/><Relationship Id="rId104" Type="http://schemas.openxmlformats.org/officeDocument/2006/relationships/hyperlink" Target="https://doi.org/10.1109/NetSys.2017.7903952" TargetMode="External"/><Relationship Id="rId225" Type="http://schemas.openxmlformats.org/officeDocument/2006/relationships/hyperlink" Target="https://hal.science/hal-00979716/" TargetMode="External"/><Relationship Id="rId109" Type="http://schemas.openxmlformats.org/officeDocument/2006/relationships/hyperlink" Target="https://doi.org/10.1145/3019612.3019879" TargetMode="External"/><Relationship Id="rId108" Type="http://schemas.openxmlformats.org/officeDocument/2006/relationships/hyperlink" Target="https://doi.org/10.1145/3019612.3019653" TargetMode="External"/><Relationship Id="rId229" Type="http://schemas.openxmlformats.org/officeDocument/2006/relationships/hyperlink" Target="https://doi.org/10.1109/SEAMS.2019.00016" TargetMode="External"/><Relationship Id="rId220" Type="http://schemas.openxmlformats.org/officeDocument/2006/relationships/hyperlink" Target="https://doi.org/10.1145/2465449.2465459" TargetMode="External"/><Relationship Id="rId103" Type="http://schemas.openxmlformats.org/officeDocument/2006/relationships/hyperlink" Target="https://doi.org/10.1109/RoSE52553.2021.00011" TargetMode="External"/><Relationship Id="rId224" Type="http://schemas.openxmlformats.org/officeDocument/2006/relationships/hyperlink" Target="https://www.diva-portal.org/smash/record.jsf?pid=diva2%3A570023&amp;dswid=2001" TargetMode="External"/><Relationship Id="rId102" Type="http://schemas.openxmlformats.org/officeDocument/2006/relationships/hyperlink" Target="https://doi.org/10.1109/SEAA.2016.41" TargetMode="External"/><Relationship Id="rId223" Type="http://schemas.openxmlformats.org/officeDocument/2006/relationships/hyperlink" Target="https://doi.org/10.1007/978-3-642-45435-6_5" TargetMode="External"/><Relationship Id="rId101" Type="http://schemas.openxmlformats.org/officeDocument/2006/relationships/hyperlink" Target="https://doi.org/10.1109/RE.2019.00054." TargetMode="External"/><Relationship Id="rId222" Type="http://schemas.openxmlformats.org/officeDocument/2006/relationships/hyperlink" Target="https://theses.hal.science/tel-01282770/" TargetMode="External"/><Relationship Id="rId100" Type="http://schemas.openxmlformats.org/officeDocument/2006/relationships/hyperlink" Target="https://doi.org/10.1007/s10664-022-10231-5" TargetMode="External"/><Relationship Id="rId221" Type="http://schemas.openxmlformats.org/officeDocument/2006/relationships/hyperlink" Target="https://www.diva-portal.org/smash/record.jsf?pid=diva2%3A848116&amp;dswid=4544" TargetMode="External"/><Relationship Id="rId217" Type="http://schemas.openxmlformats.org/officeDocument/2006/relationships/hyperlink" Target="https://doi.org/10.1145/2465498.2465503" TargetMode="External"/><Relationship Id="rId216" Type="http://schemas.openxmlformats.org/officeDocument/2006/relationships/hyperlink" Target="https://dl.gi.de/items/0e51a3e5-fb07-4ea6-8e1d-aab8b9e4b878" TargetMode="External"/><Relationship Id="rId215" Type="http://schemas.openxmlformats.org/officeDocument/2006/relationships/hyperlink" Target="https://www.researchgate.net/profile/Christian-Heinzemann/publication/260616810_Translating_MechatronicUML_Models_to_MATLABSimulink_and_Stateflow/links/02e7e537c7549a5347000000/Translating-MechatronicUML-Models-to-MATLAB-Simulink-and-Stateflow.pdf" TargetMode="External"/><Relationship Id="rId214" Type="http://schemas.openxmlformats.org/officeDocument/2006/relationships/hyperlink" Target="https://doi.org/10.1145/2465449.2465451" TargetMode="External"/><Relationship Id="rId219" Type="http://schemas.openxmlformats.org/officeDocument/2006/relationships/hyperlink" Target="https://10.0.4.85/HPCSim.2015.7237078" TargetMode="External"/><Relationship Id="rId218" Type="http://schemas.openxmlformats.org/officeDocument/2006/relationships/hyperlink" Target="https://www.researchgate.net/profile/Christian-Heinzemann/publication/260228453_Component_Story_Decision_Diagrams/links/00b7d5303bbf3b233d000000/Component-Story-Decision-Diagrams.pdf" TargetMode="External"/><Relationship Id="rId213" Type="http://schemas.openxmlformats.org/officeDocument/2006/relationships/hyperlink" Target="https://doi.org/10.1007/978-3-642-45435-6_3" TargetMode="External"/><Relationship Id="rId212" Type="http://schemas.openxmlformats.org/officeDocument/2006/relationships/hyperlink" Target="https://doi.org/10.1145/2631675.2631682" TargetMode="External"/><Relationship Id="rId211" Type="http://schemas.openxmlformats.org/officeDocument/2006/relationships/hyperlink" Target="https://doi.org/10.1145/2486046.2486055" TargetMode="External"/><Relationship Id="rId210" Type="http://schemas.openxmlformats.org/officeDocument/2006/relationships/hyperlink" Target="https://doi.org/10.1145/2465449.2465452" TargetMode="External"/><Relationship Id="rId129" Type="http://schemas.openxmlformats.org/officeDocument/2006/relationships/hyperlink" Target="https://doi.org/10.1109/IROS.2016.7759507" TargetMode="External"/><Relationship Id="rId128" Type="http://schemas.openxmlformats.org/officeDocument/2006/relationships/hyperlink" Target="https://doi.org/10.1016/j.eswa.2017.03.058" TargetMode="External"/><Relationship Id="rId249" Type="http://schemas.openxmlformats.org/officeDocument/2006/relationships/hyperlink" Target="https://doi.org/10.11113/jt.v77.6200" TargetMode="External"/><Relationship Id="rId127" Type="http://schemas.openxmlformats.org/officeDocument/2006/relationships/hyperlink" Target="https://doi.org/10.1109/ICCAR.2015.7166000" TargetMode="External"/><Relationship Id="rId248" Type="http://schemas.openxmlformats.org/officeDocument/2006/relationships/hyperlink" Target="https://doi.org/10.1109/iCECE.2010.51" TargetMode="External"/><Relationship Id="rId126" Type="http://schemas.openxmlformats.org/officeDocument/2006/relationships/hyperlink" Target="https://doi.org/10.1109/ICRA48506.2021.9561191" TargetMode="External"/><Relationship Id="rId247" Type="http://schemas.openxmlformats.org/officeDocument/2006/relationships/hyperlink" Target="https://hdl.handle.net/10993/36613" TargetMode="External"/><Relationship Id="rId121" Type="http://schemas.openxmlformats.org/officeDocument/2006/relationships/hyperlink" Target="https://doi.org/10.1016/j.robot.2015.09.019" TargetMode="External"/><Relationship Id="rId242" Type="http://schemas.openxmlformats.org/officeDocument/2006/relationships/hyperlink" Target="https://doi.org/10.1109/ICCITechn.2015.7488131" TargetMode="External"/><Relationship Id="rId120" Type="http://schemas.openxmlformats.org/officeDocument/2006/relationships/hyperlink" Target="https://doi.org/10.1145/3193992.3193996" TargetMode="External"/><Relationship Id="rId241" Type="http://schemas.openxmlformats.org/officeDocument/2006/relationships/hyperlink" Target="https://www.researchgate.net/profile/Dr-Vijay-Singh-2/publication/340951179_proceedings/links/5ea70fb145851553fab34b07/proceedings.pdf" TargetMode="External"/><Relationship Id="rId240" Type="http://schemas.openxmlformats.org/officeDocument/2006/relationships/hyperlink" Target="https://arxiv.org/pdf/2403.15756" TargetMode="External"/><Relationship Id="rId125" Type="http://schemas.openxmlformats.org/officeDocument/2006/relationships/hyperlink" Target="https://doi.org/10.1007/978-3-030-95459-8_36" TargetMode="External"/><Relationship Id="rId246" Type="http://schemas.openxmlformats.org/officeDocument/2006/relationships/hyperlink" Target="https://hdl.handle.net/1871.1/6aec4091-0136-47f6-a320-8c652a7bdeeb" TargetMode="External"/><Relationship Id="rId124" Type="http://schemas.openxmlformats.org/officeDocument/2006/relationships/hyperlink" Target="https://doi.org/10.1007/s10270-021-00873-2" TargetMode="External"/><Relationship Id="rId245" Type="http://schemas.openxmlformats.org/officeDocument/2006/relationships/hyperlink" Target="https://doi.org/10.1145/2627508.2627509" TargetMode="External"/><Relationship Id="rId123" Type="http://schemas.openxmlformats.org/officeDocument/2006/relationships/hyperlink" Target="https://doi.org/10.1016/j.engappai.2023.106281" TargetMode="External"/><Relationship Id="rId244" Type="http://schemas.openxmlformats.org/officeDocument/2006/relationships/hyperlink" Target="https://doi.org/10.1109/IE.2015.13" TargetMode="External"/><Relationship Id="rId122" Type="http://schemas.openxmlformats.org/officeDocument/2006/relationships/hyperlink" Target="https://doi.org/10.1007/s10514-017-9688-z" TargetMode="External"/><Relationship Id="rId243" Type="http://schemas.openxmlformats.org/officeDocument/2006/relationships/hyperlink" Target="https://doi.org/10.1109/SASO.2014.35" TargetMode="External"/><Relationship Id="rId95" Type="http://schemas.openxmlformats.org/officeDocument/2006/relationships/hyperlink" Target="https://scholar.googleusercontent.com/scholar?q=cache:o6RpWKcOrGEJ:scholar.google.com/&amp;hl=en&amp;as_sdt=2005&amp;sciodt=0,5" TargetMode="External"/><Relationship Id="rId94" Type="http://schemas.openxmlformats.org/officeDocument/2006/relationships/hyperlink" Target="https://doi.org/10.1109/ICRA.2019.8793754." TargetMode="External"/><Relationship Id="rId97" Type="http://schemas.openxmlformats.org/officeDocument/2006/relationships/hyperlink" Target="https://theses.hal.science/tel-04524748/" TargetMode="External"/><Relationship Id="rId96" Type="http://schemas.openxmlformats.org/officeDocument/2006/relationships/hyperlink" Target="https://doi.org/10.1108/RIA-01-2024-0013" TargetMode="External"/><Relationship Id="rId99" Type="http://schemas.openxmlformats.org/officeDocument/2006/relationships/hyperlink" Target="https://doi.org/10.1145/3355562" TargetMode="External"/><Relationship Id="rId98" Type="http://schemas.openxmlformats.org/officeDocument/2006/relationships/hyperlink" Target="http://doi.org/10.1109/SEAMS51251.2021.00015" TargetMode="External"/><Relationship Id="rId91" Type="http://schemas.openxmlformats.org/officeDocument/2006/relationships/hyperlink" Target="https://doi.org/10.1007/s11033-021-06702-5" TargetMode="External"/><Relationship Id="rId90" Type="http://schemas.openxmlformats.org/officeDocument/2006/relationships/hyperlink" Target="https://doi.org/10.1016/j.ygeno.2021.03.037" TargetMode="External"/><Relationship Id="rId93" Type="http://schemas.openxmlformats.org/officeDocument/2006/relationships/hyperlink" Target="https://doi.org/10.1007/978-3-030-66494-7_8" TargetMode="External"/><Relationship Id="rId92" Type="http://schemas.openxmlformats.org/officeDocument/2006/relationships/hyperlink" Target="https://doi.org/10.1109/DSN-W50199.2020.00031" TargetMode="External"/><Relationship Id="rId118" Type="http://schemas.openxmlformats.org/officeDocument/2006/relationships/hyperlink" Target="https://doi.org/10.1080/0952813X.2017.1409278" TargetMode="External"/><Relationship Id="rId239" Type="http://schemas.openxmlformats.org/officeDocument/2006/relationships/hyperlink" Target="https://doi.org/10.3390/s22072812" TargetMode="External"/><Relationship Id="rId117" Type="http://schemas.openxmlformats.org/officeDocument/2006/relationships/hyperlink" Target="https://doi.org/10.1007/s10115-014-0754-y" TargetMode="External"/><Relationship Id="rId238" Type="http://schemas.openxmlformats.org/officeDocument/2006/relationships/hyperlink" Target="https://doi.org/10.1371/journal.pone.0163346" TargetMode="External"/><Relationship Id="rId116" Type="http://schemas.openxmlformats.org/officeDocument/2006/relationships/hyperlink" Target="https://doi.org/10.3390/s17102243" TargetMode="External"/><Relationship Id="rId237" Type="http://schemas.openxmlformats.org/officeDocument/2006/relationships/hyperlink" Target="https://doi.org/10.1109/QRS57517.2022.00103" TargetMode="External"/><Relationship Id="rId115" Type="http://schemas.openxmlformats.org/officeDocument/2006/relationships/hyperlink" Target="https://doi.org/10.1145/3434073.3444657" TargetMode="External"/><Relationship Id="rId236" Type="http://schemas.openxmlformats.org/officeDocument/2006/relationships/hyperlink" Target="https://doi.org/10.1109/TR.2015.2504720" TargetMode="External"/><Relationship Id="rId119" Type="http://schemas.openxmlformats.org/officeDocument/2006/relationships/hyperlink" Target="https://doi.org/10.3390/s19184019" TargetMode="External"/><Relationship Id="rId110" Type="http://schemas.openxmlformats.org/officeDocument/2006/relationships/hyperlink" Target="https://nbn-resolving.org/urn:nbn:de:bsz:14-qucosa-237791" TargetMode="External"/><Relationship Id="rId231" Type="http://schemas.openxmlformats.org/officeDocument/2006/relationships/hyperlink" Target="https://doi.org/10.1145/3643915.3644081" TargetMode="External"/><Relationship Id="rId230" Type="http://schemas.openxmlformats.org/officeDocument/2006/relationships/hyperlink" Target="https://doi.org/10.3390/s19051033" TargetMode="External"/><Relationship Id="rId114" Type="http://schemas.openxmlformats.org/officeDocument/2006/relationships/hyperlink" Target="https://doi.org/10.1109/TIE.2021.3070508" TargetMode="External"/><Relationship Id="rId235" Type="http://schemas.openxmlformats.org/officeDocument/2006/relationships/hyperlink" Target="https://doi.org/10.48550/arXiv.2406.10273" TargetMode="External"/><Relationship Id="rId113" Type="http://schemas.openxmlformats.org/officeDocument/2006/relationships/hyperlink" Target="https://doi.org/10.1145/3146389" TargetMode="External"/><Relationship Id="rId234" Type="http://schemas.openxmlformats.org/officeDocument/2006/relationships/hyperlink" Target="https://doi.org/10.1145/3492762" TargetMode="External"/><Relationship Id="rId112" Type="http://schemas.openxmlformats.org/officeDocument/2006/relationships/hyperlink" Target="https://doi.org/10.1016/j.robot.2017.04.004" TargetMode="External"/><Relationship Id="rId233" Type="http://schemas.openxmlformats.org/officeDocument/2006/relationships/hyperlink" Target="https://doi.org/10.1016/j.jss.2024.112166" TargetMode="External"/><Relationship Id="rId111" Type="http://schemas.openxmlformats.org/officeDocument/2006/relationships/hyperlink" Target="https://iris.unitn.it/retrieve/2885ae50-2d19-4f37-a74a-2d6bd0ee41e8/Online_PhD-Thesis_MartinaDeSanctis.pdf" TargetMode="External"/><Relationship Id="rId232" Type="http://schemas.openxmlformats.org/officeDocument/2006/relationships/hyperlink" Target="https://doi.org/10.1016/j.jss.2019.110428" TargetMode="External"/><Relationship Id="rId206" Type="http://schemas.openxmlformats.org/officeDocument/2006/relationships/hyperlink" Target="https://web.ics.purdue.edu/~rvoyles/Pubs/Praveen.DexterousHexrotor.WM2018.pdf" TargetMode="External"/><Relationship Id="rId205" Type="http://schemas.openxmlformats.org/officeDocument/2006/relationships/hyperlink" Target="https://doi.org/10.4271/2019-01-0459" TargetMode="External"/><Relationship Id="rId204" Type="http://schemas.openxmlformats.org/officeDocument/2006/relationships/hyperlink" Target="https://doi.org/10.3390/electronics12194146" TargetMode="External"/><Relationship Id="rId203" Type="http://schemas.openxmlformats.org/officeDocument/2006/relationships/hyperlink" Target="https://doi.org/10.1016/j.sysarc.2023.102931" TargetMode="External"/><Relationship Id="rId209" Type="http://schemas.openxmlformats.org/officeDocument/2006/relationships/hyperlink" Target="https://doi.org/10.1007/978-3-642-45435-6" TargetMode="External"/><Relationship Id="rId208" Type="http://schemas.openxmlformats.org/officeDocument/2006/relationships/hyperlink" Target="https://www.cqvip.com/qk/90393x/201603/668063580.html" TargetMode="External"/><Relationship Id="rId207" Type="http://schemas.openxmlformats.org/officeDocument/2006/relationships/hyperlink" Target="https://doi.org/10.1093/milmed/usad175" TargetMode="External"/><Relationship Id="rId202" Type="http://schemas.openxmlformats.org/officeDocument/2006/relationships/hyperlink" Target="https://doi.org/10.1016/j.iot.2023.100886" TargetMode="External"/><Relationship Id="rId201" Type="http://schemas.openxmlformats.org/officeDocument/2006/relationships/hyperlink" Target="https://doi.org/10.3233/JIFS-220886" TargetMode="External"/><Relationship Id="rId200" Type="http://schemas.openxmlformats.org/officeDocument/2006/relationships/hyperlink" Target="https://doi.org/10.3390/electronics10222850"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doi.org/10.1109/12.57058" TargetMode="External"/><Relationship Id="rId190" Type="http://schemas.openxmlformats.org/officeDocument/2006/relationships/hyperlink" Target="https://doi.org/10.1016/S0004-3702(96)00047-1" TargetMode="External"/><Relationship Id="rId42" Type="http://schemas.openxmlformats.org/officeDocument/2006/relationships/hyperlink" Target="https://www.researchgate.net/publication/221436256_Towards_a_Methodology_for_Engineering_Self-Organising_Emergent_Systems" TargetMode="External"/><Relationship Id="rId41" Type="http://schemas.openxmlformats.org/officeDocument/2006/relationships/hyperlink" Target="https://dl.acm.org/doi/abs/10.5555/524721" TargetMode="External"/><Relationship Id="rId44" Type="http://schemas.openxmlformats.org/officeDocument/2006/relationships/hyperlink" Target="https://www.researchgate.net/profile/Bernhard-Bauer-4/publication/220939878_Towards_a_Model-Driven_Software_Engineering_Methodology_for_Organic_Computing_Systems/links/0912f51470ee87966f000000/Towards-a-Model-Driven-Software-Engineering-Methodology-for-Organic-Computing-Systems.pdf" TargetMode="External"/><Relationship Id="rId194" Type="http://schemas.openxmlformats.org/officeDocument/2006/relationships/hyperlink" Target="https://www.researchgate.net/profile/Horst-Haussecker/publication/2375562_Distributed_Monitoring_of_Hybrid_Systems_A_model-directed_approach/links/0a85e532884ac52f96000000/Distributed-Monitoring-of-Hybrid-Systems-A-model-directed-approach.pdf" TargetMode="External"/><Relationship Id="rId43" Type="http://schemas.openxmlformats.org/officeDocument/2006/relationships/hyperlink" Target="https://www.hpi.uni-potsdam.de/giese/misc/publications/AAET05.pdf" TargetMode="External"/><Relationship Id="rId193" Type="http://schemas.openxmlformats.org/officeDocument/2006/relationships/hyperlink" Target="https://www.researchgate.net/publication/228751643_Using_Qualitative_and_Model-Based_Reasoning_for_Sensor_Validation_of_Autonomous_Mobile_Robots" TargetMode="External"/><Relationship Id="rId46" Type="http://schemas.openxmlformats.org/officeDocument/2006/relationships/hyperlink" Target="https://www.rob.cs.tu-bs.de/node/1179" TargetMode="External"/><Relationship Id="rId192" Type="http://schemas.openxmlformats.org/officeDocument/2006/relationships/hyperlink" Target="https://doi.org/10.1177/027836499801700402" TargetMode="External"/><Relationship Id="rId45" Type="http://schemas.openxmlformats.org/officeDocument/2006/relationships/hyperlink" Target="https://ei.uni-paderborn.de/fileadmin/elektrotechnik/fg/lea/Forschung/Publikationen/2007/07HNI-Frank-Giese-Romaus-Mueller-Oberthuer.pdf" TargetMode="External"/><Relationship Id="rId191" Type="http://schemas.openxmlformats.org/officeDocument/2006/relationships/hyperlink" Target="https://doi.org/10.1016/S0004-3702(98)00068-X" TargetMode="External"/><Relationship Id="rId48" Type="http://schemas.openxmlformats.org/officeDocument/2006/relationships/hyperlink" Target="https://www.eurobuch.com/buch/isbn/9783802783050.html" TargetMode="External"/><Relationship Id="rId187" Type="http://schemas.openxmlformats.org/officeDocument/2006/relationships/hyperlink" Target="https://doi.org/10.1109/cdc.2001.980203" TargetMode="External"/><Relationship Id="rId47" Type="http://schemas.openxmlformats.org/officeDocument/2006/relationships/hyperlink" Target="https://www.tib.eu/de/suchen/id/BLCP:CN060074433/A-versatile-modular-robot-control-architecture?cHash=79f6958fae6a1b0fb045b04634ea8ce5" TargetMode="External"/><Relationship Id="rId186" Type="http://schemas.openxmlformats.org/officeDocument/2006/relationships/hyperlink" Target="https://doi.org/10.1109/ssrr.2011.6106777" TargetMode="External"/><Relationship Id="rId185" Type="http://schemas.openxmlformats.org/officeDocument/2006/relationships/hyperlink" Target="https://doi.org/10.1109/iros.2007.4399092" TargetMode="External"/><Relationship Id="rId49" Type="http://schemas.openxmlformats.org/officeDocument/2006/relationships/hyperlink" Target="https://www.shaker.de/de/content/catalogue/index.asp?lang=de&amp;ID=8&amp;ISBN=978-3-8322-2893-4&amp;search=yes" TargetMode="External"/><Relationship Id="rId184" Type="http://schemas.openxmlformats.org/officeDocument/2006/relationships/hyperlink" Target="https://doi.org/10.1109/iros.2010.5651095" TargetMode="External"/><Relationship Id="rId189" Type="http://schemas.openxmlformats.org/officeDocument/2006/relationships/hyperlink" Target="https://doi.org/10.1109/MIS.2003.1200725" TargetMode="External"/><Relationship Id="rId188" Type="http://schemas.openxmlformats.org/officeDocument/2006/relationships/hyperlink" Target="https://doi.org/10.1016/0004-3702(87)90062-2" TargetMode="External"/><Relationship Id="rId31" Type="http://schemas.openxmlformats.org/officeDocument/2006/relationships/hyperlink" Target="https://doi.org/10.1007/978-3-642-16785-0_6" TargetMode="External"/><Relationship Id="rId30" Type="http://schemas.openxmlformats.org/officeDocument/2006/relationships/hyperlink" Target="https://doi.org/10.1002/j.1538-7305.1970.tb01770.x" TargetMode="External"/><Relationship Id="rId33" Type="http://schemas.openxmlformats.org/officeDocument/2006/relationships/hyperlink" Target="https://doi.org/10.1007/978-3-642-16785-0_10" TargetMode="External"/><Relationship Id="rId183" Type="http://schemas.openxmlformats.org/officeDocument/2006/relationships/hyperlink" Target="https://doi.org/10.1007/978-3-540-89076-8_18" TargetMode="External"/><Relationship Id="rId32" Type="http://schemas.openxmlformats.org/officeDocument/2006/relationships/hyperlink" Target="https://doi.org/10.1007/978-3-642-16785-0_5" TargetMode="External"/><Relationship Id="rId182" Type="http://schemas.openxmlformats.org/officeDocument/2006/relationships/hyperlink" Target="https://doi.org/10.1007/11780519_2" TargetMode="External"/><Relationship Id="rId35" Type="http://schemas.openxmlformats.org/officeDocument/2006/relationships/hyperlink" Target="https://doi.org/10.1016/j.robot.2012.02.004" TargetMode="External"/><Relationship Id="rId181" Type="http://schemas.openxmlformats.org/officeDocument/2006/relationships/hyperlink" Target="https://doi.org/10.1109/iceccs.2009.44" TargetMode="External"/><Relationship Id="rId34" Type="http://schemas.openxmlformats.org/officeDocument/2006/relationships/hyperlink" Target="https://doi.org/10.1007/978-3-319-11900-7_26" TargetMode="External"/><Relationship Id="rId180" Type="http://schemas.openxmlformats.org/officeDocument/2006/relationships/hyperlink" Target="https://doi.org/10.1109/TRO.2012.2228135" TargetMode="External"/><Relationship Id="rId37" Type="http://schemas.openxmlformats.org/officeDocument/2006/relationships/hyperlink" Target="https://doi.org/10.1109/IROS.2016.7759509" TargetMode="External"/><Relationship Id="rId176" Type="http://schemas.openxmlformats.org/officeDocument/2006/relationships/hyperlink" Target="https://doi.org/10.1007/978-3-540-68642-2_23" TargetMode="External"/><Relationship Id="rId297" Type="http://schemas.openxmlformats.org/officeDocument/2006/relationships/hyperlink" Target="https://doi.org/10.1145/1402521.1402526" TargetMode="External"/><Relationship Id="rId36" Type="http://schemas.openxmlformats.org/officeDocument/2006/relationships/hyperlink" Target="https://doi.org/10.1109/ROBOT.2005.1570129" TargetMode="External"/><Relationship Id="rId175" Type="http://schemas.openxmlformats.org/officeDocument/2006/relationships/hyperlink" Target="https://doi.org/10.48550/arXiv.1405.3694" TargetMode="External"/><Relationship Id="rId296" Type="http://schemas.openxmlformats.org/officeDocument/2006/relationships/hyperlink" Target="https://doi.org/10.1109/IC3I44769.2018.9007292" TargetMode="External"/><Relationship Id="rId39" Type="http://schemas.openxmlformats.org/officeDocument/2006/relationships/hyperlink" Target="https://doi.org/10.1109/etfa.2015.7301403" TargetMode="External"/><Relationship Id="rId174" Type="http://schemas.openxmlformats.org/officeDocument/2006/relationships/hyperlink" Target="http://www.tara.tcd.ie/handle/2262/30726" TargetMode="External"/><Relationship Id="rId295" Type="http://schemas.openxmlformats.org/officeDocument/2006/relationships/hyperlink" Target="https://doi.org/10.1109/ETFA45728.2021.9613728" TargetMode="External"/><Relationship Id="rId38" Type="http://schemas.openxmlformats.org/officeDocument/2006/relationships/hyperlink" Target="https://doi.org/10.1007/978-3-642-17319-6_31" TargetMode="External"/><Relationship Id="rId173" Type="http://schemas.openxmlformats.org/officeDocument/2006/relationships/hyperlink" Target="https://doi.org/10.1016/j.mechatronics.2010.10.006" TargetMode="External"/><Relationship Id="rId294" Type="http://schemas.openxmlformats.org/officeDocument/2006/relationships/hyperlink" Target="https://doi.org/10.1109/ETFA45728.2021.9613729" TargetMode="External"/><Relationship Id="rId179" Type="http://schemas.openxmlformats.org/officeDocument/2006/relationships/hyperlink" Target="https://www.diva-portal.org/smash/record.jsf?dswid=4727&amp;pid=diva2%3A214200" TargetMode="External"/><Relationship Id="rId178" Type="http://schemas.openxmlformats.org/officeDocument/2006/relationships/hyperlink" Target="https://doi.org/10.1007/3-540-32370-8_37" TargetMode="External"/><Relationship Id="rId299" Type="http://schemas.openxmlformats.org/officeDocument/2006/relationships/hyperlink" Target="https://www.rti.com/products/connext-dds-professional" TargetMode="External"/><Relationship Id="rId177" Type="http://schemas.openxmlformats.org/officeDocument/2006/relationships/hyperlink" Target="https://doi.org/10.1145/1107548.1107615" TargetMode="External"/><Relationship Id="rId298" Type="http://schemas.openxmlformats.org/officeDocument/2006/relationships/hyperlink" Target="http://cppmicroservices.org/" TargetMode="External"/><Relationship Id="rId20" Type="http://schemas.openxmlformats.org/officeDocument/2006/relationships/hyperlink" Target="https://doi.org/10.1109/iros.2005.1545582" TargetMode="External"/><Relationship Id="rId22" Type="http://schemas.openxmlformats.org/officeDocument/2006/relationships/hyperlink" Target="https://doi.org/10.1007/0-306-48738-1_8" TargetMode="External"/><Relationship Id="rId21" Type="http://schemas.openxmlformats.org/officeDocument/2006/relationships/hyperlink" Target="https://doi.org/10.1007/978-3-642-16785-0_17" TargetMode="External"/><Relationship Id="rId24" Type="http://schemas.openxmlformats.org/officeDocument/2006/relationships/hyperlink" Target="https://doi.org/10.1109/TRA.2002.802930" TargetMode="External"/><Relationship Id="rId23" Type="http://schemas.openxmlformats.org/officeDocument/2006/relationships/hyperlink" Target="https://doi.org/10.1109/iros.2006.281759" TargetMode="External"/><Relationship Id="rId26" Type="http://schemas.openxmlformats.org/officeDocument/2006/relationships/hyperlink" Target="https://doi.org/10.1109/icarcv.2004.1468823" TargetMode="External"/><Relationship Id="rId25" Type="http://schemas.openxmlformats.org/officeDocument/2006/relationships/hyperlink" Target="https://doi.org/10.1007/978-3-642-16785-0_11" TargetMode="External"/><Relationship Id="rId28" Type="http://schemas.openxmlformats.org/officeDocument/2006/relationships/hyperlink" Target="https://doi.org/10.4304/jcp.2.10.18-27" TargetMode="External"/><Relationship Id="rId27" Type="http://schemas.openxmlformats.org/officeDocument/2006/relationships/hyperlink" Target="https://doi.org/10.1007/978-3-642-16785-0_13" TargetMode="External"/><Relationship Id="rId29" Type="http://schemas.openxmlformats.org/officeDocument/2006/relationships/hyperlink" Target="https://doi.org/10.1049/ip-cdt:20045088" TargetMode="External"/><Relationship Id="rId11" Type="http://schemas.openxmlformats.org/officeDocument/2006/relationships/hyperlink" Target="https://doi.org/10.1201/9781420009354" TargetMode="External"/><Relationship Id="rId10" Type="http://schemas.openxmlformats.org/officeDocument/2006/relationships/hyperlink" Target="https://doi.org/10.1109/MC.2003.1160055" TargetMode="External"/><Relationship Id="rId13" Type="http://schemas.openxmlformats.org/officeDocument/2006/relationships/hyperlink" Target="https://doi.org/10.1145/1016720.1016724" TargetMode="External"/><Relationship Id="rId12" Type="http://schemas.openxmlformats.org/officeDocument/2006/relationships/hyperlink" Target="https://doi.org/10.1109/isola.2006.19" TargetMode="External"/><Relationship Id="rId15" Type="http://schemas.openxmlformats.org/officeDocument/2006/relationships/hyperlink" Target="https://doi.org/10.1177/027836498800700401" TargetMode="External"/><Relationship Id="rId198" Type="http://schemas.openxmlformats.org/officeDocument/2006/relationships/hyperlink" Target="https://citeseerx.ist.psu.edu/document?repid=rep1&amp;type=pdf&amp;doi=5f277ad6aff683be07bed616897a159464354333" TargetMode="External"/><Relationship Id="rId14" Type="http://schemas.openxmlformats.org/officeDocument/2006/relationships/hyperlink" Target="https://doi.org/10.1109/tsmc.1981.4308708" TargetMode="External"/><Relationship Id="rId197" Type="http://schemas.openxmlformats.org/officeDocument/2006/relationships/hyperlink" Target="https://sourceforge.net/projects/pdd4j/" TargetMode="External"/><Relationship Id="rId17" Type="http://schemas.openxmlformats.org/officeDocument/2006/relationships/hyperlink" Target="https://doi.org/10.1109/robot.2003.1242062" TargetMode="External"/><Relationship Id="rId196" Type="http://schemas.openxmlformats.org/officeDocument/2006/relationships/hyperlink" Target="https://www.researchgate.net/profile/Craig-Knoblock/publication/2278933_PDDL_-_The_Planning_Domain_Definition_Language/links/0912f50c0c99385e19000000/PDDL-The-Planning-Domain-Definition-Language.pdf" TargetMode="External"/><Relationship Id="rId16" Type="http://schemas.openxmlformats.org/officeDocument/2006/relationships/hyperlink" Target="https://doi.org/10.1109/70.163779" TargetMode="External"/><Relationship Id="rId195" Type="http://schemas.openxmlformats.org/officeDocument/2006/relationships/hyperlink" Target="https://staff.fnwi.uva.nl/a.visser/activities/robocup/RoboCup2013/Symposium/TeamDescriptionPapers/Rescue/Champ2013_Iran_AriAnA_TDP.pdf" TargetMode="External"/><Relationship Id="rId19" Type="http://schemas.openxmlformats.org/officeDocument/2006/relationships/hyperlink" Target="https://doi.org/10.1007/978-3-642-16785-0_18" TargetMode="External"/><Relationship Id="rId18" Type="http://schemas.openxmlformats.org/officeDocument/2006/relationships/hyperlink" Target="https://doi.org/10.1109/ROBOT.2004.1302546" TargetMode="External"/><Relationship Id="rId199" Type="http://schemas.openxmlformats.org/officeDocument/2006/relationships/hyperlink" Target="https://kilthub.cmu.edu/articles/Monocular_Visual_Odometry_using_a_Planar_Road_Model_to_Solve_Scale_Ambiguity/6555626/files/12037856.pdf" TargetMode="External"/><Relationship Id="rId84" Type="http://schemas.openxmlformats.org/officeDocument/2006/relationships/hyperlink" Target="https://doi.org/10.1007/978-3-642-35813-5_11" TargetMode="External"/><Relationship Id="rId83" Type="http://schemas.openxmlformats.org/officeDocument/2006/relationships/hyperlink" Target="https://doi.org/10.1145/1882291.1882296" TargetMode="External"/><Relationship Id="rId86" Type="http://schemas.openxmlformats.org/officeDocument/2006/relationships/hyperlink" Target="https://doi.org/10.1109/simpar.2016.7862375" TargetMode="External"/><Relationship Id="rId85" Type="http://schemas.openxmlformats.org/officeDocument/2006/relationships/hyperlink" Target="https://doi.org/10.1007/BF01995674" TargetMode="External"/><Relationship Id="rId88" Type="http://schemas.openxmlformats.org/officeDocument/2006/relationships/hyperlink" Target="https://doi.org/10.14778/1920841.1920874" TargetMode="External"/><Relationship Id="rId150" Type="http://schemas.openxmlformats.org/officeDocument/2006/relationships/hyperlink" Target="https://doi.org/10.1016/j.jss.2018.10.051" TargetMode="External"/><Relationship Id="rId271" Type="http://schemas.openxmlformats.org/officeDocument/2006/relationships/hyperlink" Target="https://doi.org/10.3390/app8050676" TargetMode="External"/><Relationship Id="rId87" Type="http://schemas.openxmlformats.org/officeDocument/2006/relationships/hyperlink" Target="https://doi.org/10.1145/2187671.2187677" TargetMode="External"/><Relationship Id="rId270" Type="http://schemas.openxmlformats.org/officeDocument/2006/relationships/hyperlink" Target="https://doi.org/10.5772/intechopen.69796" TargetMode="External"/><Relationship Id="rId89" Type="http://schemas.openxmlformats.org/officeDocument/2006/relationships/hyperlink" Target="https://doi.org/10.1609/aaai.v29i1.9408" TargetMode="External"/><Relationship Id="rId80" Type="http://schemas.openxmlformats.org/officeDocument/2006/relationships/hyperlink" Target="https://doi.org/10.1007/978-3-642-33666-9_5" TargetMode="External"/><Relationship Id="rId82" Type="http://schemas.openxmlformats.org/officeDocument/2006/relationships/hyperlink" Target="https://doi.org/10.1016/j.infsof.2015.10.001" TargetMode="External"/><Relationship Id="rId81" Type="http://schemas.openxmlformats.org/officeDocument/2006/relationships/hyperlink" Target="https://doi.org/10.1145/2025113.2025147" TargetMode="External"/><Relationship Id="rId1" Type="http://schemas.openxmlformats.org/officeDocument/2006/relationships/hyperlink" Target="https://doi.org/10.1016/j.jss.2016.08.039" TargetMode="External"/><Relationship Id="rId2" Type="http://schemas.openxmlformats.org/officeDocument/2006/relationships/hyperlink" Target="https://doi.org/10.1109/icse.1998.671114" TargetMode="External"/><Relationship Id="rId3" Type="http://schemas.openxmlformats.org/officeDocument/2006/relationships/hyperlink" Target="https://doi.org/10.1109/MC.2004.175" TargetMode="External"/><Relationship Id="rId149" Type="http://schemas.openxmlformats.org/officeDocument/2006/relationships/hyperlink" Target="https://doi.org/10.1184/R1/6602945.v1" TargetMode="External"/><Relationship Id="rId4" Type="http://schemas.openxmlformats.org/officeDocument/2006/relationships/hyperlink" Target="https://doi.org/10.1016/j.sysarc.2008.07.001" TargetMode="External"/><Relationship Id="rId148" Type="http://schemas.openxmlformats.org/officeDocument/2006/relationships/hyperlink" Target="https://doi.org/10.1109/seams.2009.5069083" TargetMode="External"/><Relationship Id="rId269" Type="http://schemas.openxmlformats.org/officeDocument/2006/relationships/hyperlink" Target="https://doi.org/10.48550/arXiv.1806.06681" TargetMode="External"/><Relationship Id="rId9" Type="http://schemas.openxmlformats.org/officeDocument/2006/relationships/hyperlink" Target="https://doi.org/10.1007/978-3-642-16785-0_7" TargetMode="External"/><Relationship Id="rId143" Type="http://schemas.openxmlformats.org/officeDocument/2006/relationships/hyperlink" Target="https://doi.org/10.1145/2804337.2804339" TargetMode="External"/><Relationship Id="rId264" Type="http://schemas.openxmlformats.org/officeDocument/2006/relationships/hyperlink" Target="https://doi.org/10.1145/3061639.3062241" TargetMode="External"/><Relationship Id="rId142" Type="http://schemas.openxmlformats.org/officeDocument/2006/relationships/hyperlink" Target="https://doi.org/10.1145/3194133.3194146" TargetMode="External"/><Relationship Id="rId263" Type="http://schemas.openxmlformats.org/officeDocument/2006/relationships/hyperlink" Target="https://doi.org/10.1016/j.robot.2016.09.017" TargetMode="External"/><Relationship Id="rId141" Type="http://schemas.openxmlformats.org/officeDocument/2006/relationships/hyperlink" Target="https://dl.acm.org/doi/10.5555/861416" TargetMode="External"/><Relationship Id="rId262" Type="http://schemas.openxmlformats.org/officeDocument/2006/relationships/hyperlink" Target="https://doi.org/10.1109/robot.2003.1242021" TargetMode="External"/><Relationship Id="rId140" Type="http://schemas.openxmlformats.org/officeDocument/2006/relationships/hyperlink" Target="https://doi.org/10.1145/1774088.1774180" TargetMode="External"/><Relationship Id="rId261" Type="http://schemas.openxmlformats.org/officeDocument/2006/relationships/hyperlink" Target="https://dl.acm.org/doi/abs/10.5555/3241094.3241165" TargetMode="External"/><Relationship Id="rId5" Type="http://schemas.openxmlformats.org/officeDocument/2006/relationships/hyperlink" Target="https://doi.org/10.1016/j.sysarc.2011.03.005" TargetMode="External"/><Relationship Id="rId147" Type="http://schemas.openxmlformats.org/officeDocument/2006/relationships/hyperlink" Target="https://doi.org/10.1109/itng.2014.107" TargetMode="External"/><Relationship Id="rId268" Type="http://schemas.openxmlformats.org/officeDocument/2006/relationships/hyperlink" Target="https://doi.org/10.1109/JIOT.2017.2703172" TargetMode="External"/><Relationship Id="rId6" Type="http://schemas.openxmlformats.org/officeDocument/2006/relationships/hyperlink" Target="https://doi.org/10.1016/j.sysarc.2011.07.001" TargetMode="External"/><Relationship Id="rId146" Type="http://schemas.openxmlformats.org/officeDocument/2006/relationships/hyperlink" Target="https://doi.org/10.1016/j.scico.2015.12.006" TargetMode="External"/><Relationship Id="rId267" Type="http://schemas.openxmlformats.org/officeDocument/2006/relationships/hyperlink" Target="https://doi.org/10.1016/j.robot.2013.05.008" TargetMode="External"/><Relationship Id="rId7" Type="http://schemas.openxmlformats.org/officeDocument/2006/relationships/hyperlink" Target="https://doi.org/10.1016/j.sysarc.2010.04.009" TargetMode="External"/><Relationship Id="rId145" Type="http://schemas.openxmlformats.org/officeDocument/2006/relationships/hyperlink" Target="https://doi.org/10.1016/j.jss.2019.02.055" TargetMode="External"/><Relationship Id="rId266" Type="http://schemas.openxmlformats.org/officeDocument/2006/relationships/hyperlink" Target="https://doi.org/10.1016/j.robot.2017.10.006" TargetMode="External"/><Relationship Id="rId8" Type="http://schemas.openxmlformats.org/officeDocument/2006/relationships/hyperlink" Target="https://doi.org/10.1007/978-94-010-9587-7" TargetMode="External"/><Relationship Id="rId144" Type="http://schemas.openxmlformats.org/officeDocument/2006/relationships/hyperlink" Target="https://doi.org/10.1109/icsa.2017.16" TargetMode="External"/><Relationship Id="rId265" Type="http://schemas.openxmlformats.org/officeDocument/2006/relationships/hyperlink" Target="https://doi.org/10.1023/A:1008954632763" TargetMode="External"/><Relationship Id="rId73" Type="http://schemas.openxmlformats.org/officeDocument/2006/relationships/hyperlink" Target="https://doi.org/10.1007/978-3-642-04425-0_36" TargetMode="External"/><Relationship Id="rId72" Type="http://schemas.openxmlformats.org/officeDocument/2006/relationships/hyperlink" Target="https://doi.org/10.1007/978-3-319-23727-5_4" TargetMode="External"/><Relationship Id="rId75" Type="http://schemas.openxmlformats.org/officeDocument/2006/relationships/hyperlink" Target="https://doi.org/10.1145/2465449.2465462" TargetMode="External"/><Relationship Id="rId74" Type="http://schemas.openxmlformats.org/officeDocument/2006/relationships/hyperlink" Target="https://doi.org/10.1145/582128.582152" TargetMode="External"/><Relationship Id="rId77" Type="http://schemas.openxmlformats.org/officeDocument/2006/relationships/hyperlink" Target="https://doi.org/10.1109/icse.2012.6227081" TargetMode="External"/><Relationship Id="rId260" Type="http://schemas.openxmlformats.org/officeDocument/2006/relationships/hyperlink" Target="https://doi.org/10.1145/2966986.2967050" TargetMode="External"/><Relationship Id="rId76" Type="http://schemas.openxmlformats.org/officeDocument/2006/relationships/hyperlink" Target="https://doi.org/10.1007/978-3-540-89437-7_1" TargetMode="External"/><Relationship Id="rId79" Type="http://schemas.openxmlformats.org/officeDocument/2006/relationships/hyperlink" Target="https://doi.org/10.4230/DagSemProc.08031.2" TargetMode="External"/><Relationship Id="rId78" Type="http://schemas.openxmlformats.org/officeDocument/2006/relationships/hyperlink" Target="https://doi.org/10.1109/MS.2014.82" TargetMode="External"/><Relationship Id="rId71" Type="http://schemas.openxmlformats.org/officeDocument/2006/relationships/hyperlink" Target="https://doi.org/10.1007/978-3-642-02161-9_3" TargetMode="External"/><Relationship Id="rId70" Type="http://schemas.openxmlformats.org/officeDocument/2006/relationships/hyperlink" Target="https://doi.org/10.1109/MS.2006.61" TargetMode="External"/><Relationship Id="rId139" Type="http://schemas.openxmlformats.org/officeDocument/2006/relationships/hyperlink" Target="https://dl.acm.org/doi/abs/10.5555/231003" TargetMode="External"/><Relationship Id="rId138" Type="http://schemas.openxmlformats.org/officeDocument/2006/relationships/hyperlink" Target="https://citeseerx.ist.psu.edu/document?repid=rep1&amp;type=pdf&amp;doi=7f8b8255ee8fb30bd5ef7a6a446858d25ecc7868" TargetMode="External"/><Relationship Id="rId259" Type="http://schemas.openxmlformats.org/officeDocument/2006/relationships/hyperlink" Target="https://doi.org/10.1145/3134600.3134640" TargetMode="External"/><Relationship Id="rId137" Type="http://schemas.openxmlformats.org/officeDocument/2006/relationships/hyperlink" Target="http://wiki.ros.org/move_base" TargetMode="External"/><Relationship Id="rId258" Type="http://schemas.openxmlformats.org/officeDocument/2006/relationships/hyperlink" Target="https://doi.org/10.23919/date.2017.7927154" TargetMode="External"/><Relationship Id="rId132" Type="http://schemas.openxmlformats.org/officeDocument/2006/relationships/hyperlink" Target="http://web.mit.edu/richh/www/writings/hilliard99-ifip.pdf" TargetMode="External"/><Relationship Id="rId253" Type="http://schemas.openxmlformats.org/officeDocument/2006/relationships/hyperlink" Target="https://doi.org/10.1109/dsn.2016.43" TargetMode="External"/><Relationship Id="rId131" Type="http://schemas.openxmlformats.org/officeDocument/2006/relationships/hyperlink" Target="https://doi.org/10.1007/10720246_1" TargetMode="External"/><Relationship Id="rId252" Type="http://schemas.openxmlformats.org/officeDocument/2006/relationships/hyperlink" Target="https://doi.org/10.3390/s18051643" TargetMode="External"/><Relationship Id="rId130" Type="http://schemas.openxmlformats.org/officeDocument/2006/relationships/hyperlink" Target="http://gazebosim.org/" TargetMode="External"/><Relationship Id="rId251" Type="http://schemas.openxmlformats.org/officeDocument/2006/relationships/hyperlink" Target="https://doi.org/10.1109/coase.2005.1506801" TargetMode="External"/><Relationship Id="rId250" Type="http://schemas.openxmlformats.org/officeDocument/2006/relationships/hyperlink" Target="https://doi.org/10.20965/jrm.1990.p0308" TargetMode="External"/><Relationship Id="rId136" Type="http://schemas.openxmlformats.org/officeDocument/2006/relationships/hyperlink" Target="https://dl.acm.org/doi/10.5555/2615731.2617416" TargetMode="External"/><Relationship Id="rId257" Type="http://schemas.openxmlformats.org/officeDocument/2006/relationships/hyperlink" Target="https://doi.org/10.48550/arXiv.1504.04339" TargetMode="External"/><Relationship Id="rId135" Type="http://schemas.openxmlformats.org/officeDocument/2006/relationships/hyperlink" Target="https://doi.org/10.1007/978-3-642-22110-1_47" TargetMode="External"/><Relationship Id="rId256" Type="http://schemas.openxmlformats.org/officeDocument/2006/relationships/hyperlink" Target="https://doi.org/10.1145/3133956.3134020" TargetMode="External"/><Relationship Id="rId134" Type="http://schemas.openxmlformats.org/officeDocument/2006/relationships/hyperlink" Target="https://doi.org/10.1007/978-3-540-72522-0_6" TargetMode="External"/><Relationship Id="rId255" Type="http://schemas.openxmlformats.org/officeDocument/2006/relationships/hyperlink" Target="https://dl.acm.org/doi/abs/10.5555/3154768.3154769" TargetMode="External"/><Relationship Id="rId133" Type="http://schemas.openxmlformats.org/officeDocument/2006/relationships/hyperlink" Target="https://doi.org/10.1145/1380584.1380585" TargetMode="External"/><Relationship Id="rId254" Type="http://schemas.openxmlformats.org/officeDocument/2006/relationships/hyperlink" Target="https://doi.org/10.1007/978-3-319-75632-5_5" TargetMode="External"/><Relationship Id="rId62" Type="http://schemas.openxmlformats.org/officeDocument/2006/relationships/hyperlink" Target="https://doi.org/10.1115/DETC2008-49881" TargetMode="External"/><Relationship Id="rId61" Type="http://schemas.openxmlformats.org/officeDocument/2006/relationships/hyperlink" Target="https://www.amazon.com/Design-Patterns-Elements-Reusable-Object-Oriented/dp/0201633612" TargetMode="External"/><Relationship Id="rId64" Type="http://schemas.openxmlformats.org/officeDocument/2006/relationships/hyperlink" Target="https://doi.org/10.1109/jproc.2012.2189792" TargetMode="External"/><Relationship Id="rId63" Type="http://schemas.openxmlformats.org/officeDocument/2006/relationships/hyperlink" Target="http://robotics.stanford.edu/~ang/papers/icraoss09-ROS.pdf" TargetMode="External"/><Relationship Id="rId66" Type="http://schemas.openxmlformats.org/officeDocument/2006/relationships/hyperlink" Target="https://doi.org/10.1109/seams.2012.6224396" TargetMode="External"/><Relationship Id="rId172" Type="http://schemas.openxmlformats.org/officeDocument/2006/relationships/hyperlink" Target="https://doi.org/10.1109/MDSO.2008.19" TargetMode="External"/><Relationship Id="rId293" Type="http://schemas.openxmlformats.org/officeDocument/2006/relationships/hyperlink" Target="https://doi.org/10.1126/scirobotics.abm6074" TargetMode="External"/><Relationship Id="rId65" Type="http://schemas.openxmlformats.org/officeDocument/2006/relationships/hyperlink" Target="https://doi.org/10.1007/978-3-642-34614-9_1" TargetMode="External"/><Relationship Id="rId171" Type="http://schemas.openxmlformats.org/officeDocument/2006/relationships/hyperlink" Target="https://doi.org/10.1002/spe.2116" TargetMode="External"/><Relationship Id="rId292" Type="http://schemas.openxmlformats.org/officeDocument/2006/relationships/hyperlink" Target="https://opcfoundation.org/developer-tools/specifications-unified-architecture/part-14-pubsub" TargetMode="External"/><Relationship Id="rId68" Type="http://schemas.openxmlformats.org/officeDocument/2006/relationships/hyperlink" Target="https://doi.org/10.1145/2593929.2593944" TargetMode="External"/><Relationship Id="rId170" Type="http://schemas.openxmlformats.org/officeDocument/2006/relationships/hyperlink" Target="https://doi.org/10.1109/iros.2018.8594067" TargetMode="External"/><Relationship Id="rId291" Type="http://schemas.openxmlformats.org/officeDocument/2006/relationships/hyperlink" Target="https://doi.org/10.1109/ETFA.2018.8502479" TargetMode="External"/><Relationship Id="rId67" Type="http://schemas.openxmlformats.org/officeDocument/2006/relationships/hyperlink" Target="https://doi.org/10.1016/j.jss.2012.02.060" TargetMode="External"/><Relationship Id="rId290" Type="http://schemas.openxmlformats.org/officeDocument/2006/relationships/hyperlink" Target="https://opcfoundation.org/wp-content/uploads/2023/05/OPC-UA-Interoperability-For-Industrie4-and-IoT-EN.pdf" TargetMode="External"/><Relationship Id="rId60" Type="http://schemas.openxmlformats.org/officeDocument/2006/relationships/hyperlink" Target="https://abcm.org.br/symposium-series/SSM_Vol2/antigos/Section_III_Robotics/SSM2_I_24.pdf" TargetMode="External"/><Relationship Id="rId165" Type="http://schemas.openxmlformats.org/officeDocument/2006/relationships/hyperlink" Target="https://doi.org/10.1016/j.imavis.2018.05.004" TargetMode="External"/><Relationship Id="rId286" Type="http://schemas.openxmlformats.org/officeDocument/2006/relationships/hyperlink" Target="https://doi.org/10.1145/2843940" TargetMode="External"/><Relationship Id="rId69" Type="http://schemas.openxmlformats.org/officeDocument/2006/relationships/hyperlink" Target="https://doi.org/10.1145/1809049.1809078" TargetMode="External"/><Relationship Id="rId164" Type="http://schemas.openxmlformats.org/officeDocument/2006/relationships/hyperlink" Target="https://doi.org/10.1109/seams.2019.00013" TargetMode="External"/><Relationship Id="rId285" Type="http://schemas.openxmlformats.org/officeDocument/2006/relationships/hyperlink" Target="https://doi.org/10.1109/TDSC.2015.2427841" TargetMode="External"/><Relationship Id="rId163" Type="http://schemas.openxmlformats.org/officeDocument/2006/relationships/hyperlink" Target="https://doi.org/10.1002/spe.1074" TargetMode="External"/><Relationship Id="rId284" Type="http://schemas.openxmlformats.org/officeDocument/2006/relationships/hyperlink" Target="https://doi.org/10.1109/iccad.2015.7372606" TargetMode="External"/><Relationship Id="rId162" Type="http://schemas.openxmlformats.org/officeDocument/2006/relationships/hyperlink" Target="https://doi.org/10.1145/2897053.2897069" TargetMode="External"/><Relationship Id="rId283" Type="http://schemas.openxmlformats.org/officeDocument/2006/relationships/hyperlink" Target="https://doi.org/10.1145/2593069.2593095" TargetMode="External"/><Relationship Id="rId169" Type="http://schemas.openxmlformats.org/officeDocument/2006/relationships/hyperlink" Target="https://doi.org/10.1145/1858996.1859092" TargetMode="External"/><Relationship Id="rId168" Type="http://schemas.openxmlformats.org/officeDocument/2006/relationships/hyperlink" Target="https://doi.org/10.1145/1370018.1370020" TargetMode="External"/><Relationship Id="rId289" Type="http://schemas.openxmlformats.org/officeDocument/2006/relationships/hyperlink" Target="https://doi.org/10.1007/978-3-030-63193-2_10" TargetMode="External"/><Relationship Id="rId167" Type="http://schemas.openxmlformats.org/officeDocument/2006/relationships/hyperlink" Target="https://doi.org/10.1109/irc.2019.00018" TargetMode="External"/><Relationship Id="rId288" Type="http://schemas.openxmlformats.org/officeDocument/2006/relationships/hyperlink" Target="https://doi.org/10.1109/TCAD.2016.2523937" TargetMode="External"/><Relationship Id="rId166" Type="http://schemas.openxmlformats.org/officeDocument/2006/relationships/hyperlink" Target="https://doi.org/10.1109/wf-iot.2016.7845513" TargetMode="External"/><Relationship Id="rId287" Type="http://schemas.openxmlformats.org/officeDocument/2006/relationships/hyperlink" Target="https://doi.org/10.1145/2744769.2747920" TargetMode="External"/><Relationship Id="rId51" Type="http://schemas.openxmlformats.org/officeDocument/2006/relationships/hyperlink" Target="http://playerstage.sourceforge.net/" TargetMode="External"/><Relationship Id="rId50" Type="http://schemas.openxmlformats.org/officeDocument/2006/relationships/hyperlink" Target="https://orca-robotics.sourceforge.net/" TargetMode="External"/><Relationship Id="rId53" Type="http://schemas.openxmlformats.org/officeDocument/2006/relationships/hyperlink" Target="http://marie.sourceforge.net" TargetMode="External"/><Relationship Id="rId52" Type="http://schemas.openxmlformats.org/officeDocument/2006/relationships/hyperlink" Target="http://claraty.jpl.nasa.gov" TargetMode="External"/><Relationship Id="rId55" Type="http://schemas.openxmlformats.org/officeDocument/2006/relationships/hyperlink" Target="http://orocos.org" TargetMode="External"/><Relationship Id="rId161" Type="http://schemas.openxmlformats.org/officeDocument/2006/relationships/hyperlink" Target="https://doi.org/10.1145/2786805.2786853" TargetMode="External"/><Relationship Id="rId282" Type="http://schemas.openxmlformats.org/officeDocument/2006/relationships/hyperlink" Target="https://doi.org/10.1109/icra.2019.8793764" TargetMode="External"/><Relationship Id="rId54" Type="http://schemas.openxmlformats.org/officeDocument/2006/relationships/hyperlink" Target="https://www.researchgate.net/profile/Daniel-Kubus/publication/228371987_MiRPA_Middleware_for_robotic_and_process_control_applications/links/00b49529ecdb633b4f000000/MiRPA-Middleware-for-robotic-and-process-control-applications.pdf" TargetMode="External"/><Relationship Id="rId160" Type="http://schemas.openxmlformats.org/officeDocument/2006/relationships/hyperlink" Target="https://doi.org/10.1007/978-3-319-95582-7_24" TargetMode="External"/><Relationship Id="rId281" Type="http://schemas.openxmlformats.org/officeDocument/2006/relationships/hyperlink" Target="https://doi.org/10.1145/2976749.2978388" TargetMode="External"/><Relationship Id="rId57" Type="http://schemas.openxmlformats.org/officeDocument/2006/relationships/hyperlink" Target="http://human-competitive.org/" TargetMode="External"/><Relationship Id="rId280" Type="http://schemas.openxmlformats.org/officeDocument/2006/relationships/hyperlink" Target="https://dl.acm.org/doi/10.5555/3275309" TargetMode="External"/><Relationship Id="rId56" Type="http://schemas.openxmlformats.org/officeDocument/2006/relationships/hyperlink" Target="http://www.osaca.org/" TargetMode="External"/><Relationship Id="rId159" Type="http://schemas.openxmlformats.org/officeDocument/2006/relationships/hyperlink" Target="https://doi.org/10.1007/978-3-319-66790-4_5" TargetMode="External"/><Relationship Id="rId59" Type="http://schemas.openxmlformats.org/officeDocument/2006/relationships/hyperlink" Target="https://www.actapress.com/PaperInfo.aspx?PaperID=23004&amp;reason=500" TargetMode="External"/><Relationship Id="rId154" Type="http://schemas.openxmlformats.org/officeDocument/2006/relationships/hyperlink" Target="https://doi.org/10.1109/seams.2019.00015" TargetMode="External"/><Relationship Id="rId275" Type="http://schemas.openxmlformats.org/officeDocument/2006/relationships/hyperlink" Target="https://doi.org/10.1007/s10703-017-0275-x" TargetMode="External"/><Relationship Id="rId58" Type="http://schemas.openxmlformats.org/officeDocument/2006/relationships/hyperlink" Target="https://doi.org/10.5772/5763" TargetMode="External"/><Relationship Id="rId153" Type="http://schemas.openxmlformats.org/officeDocument/2006/relationships/hyperlink" Target="https://doi.org/10.1145/505145.505149" TargetMode="External"/><Relationship Id="rId274" Type="http://schemas.openxmlformats.org/officeDocument/2006/relationships/hyperlink" Target="https://doi.org/10.1145/2542049" TargetMode="External"/><Relationship Id="rId152" Type="http://schemas.openxmlformats.org/officeDocument/2006/relationships/hyperlink" Target="https://doi.org/10.1145/3236024.3236046" TargetMode="External"/><Relationship Id="rId273" Type="http://schemas.openxmlformats.org/officeDocument/2006/relationships/hyperlink" Target="https://doi.org/10.1109/iccad.2014.7001350" TargetMode="External"/><Relationship Id="rId151" Type="http://schemas.openxmlformats.org/officeDocument/2006/relationships/hyperlink" Target="https://doi.org/10.1017/CBO9781139583923" TargetMode="External"/><Relationship Id="rId272" Type="http://schemas.openxmlformats.org/officeDocument/2006/relationships/hyperlink" Target="https://doi.org/10.1145/1653662.1653666" TargetMode="External"/><Relationship Id="rId158" Type="http://schemas.openxmlformats.org/officeDocument/2006/relationships/hyperlink" Target="https://doi.org/10.1145/2491411.2491414" TargetMode="External"/><Relationship Id="rId279" Type="http://schemas.openxmlformats.org/officeDocument/2006/relationships/hyperlink" Target="https://doi.org/10.1109/SP.2010.25" TargetMode="External"/><Relationship Id="rId157" Type="http://schemas.openxmlformats.org/officeDocument/2006/relationships/hyperlink" Target="https://doi.org/10.1109/iros.2014.6942756" TargetMode="External"/><Relationship Id="rId278" Type="http://schemas.openxmlformats.org/officeDocument/2006/relationships/hyperlink" Target="https://doi.org/10.1109/ROMAN.2010.5654677" TargetMode="External"/><Relationship Id="rId156" Type="http://schemas.openxmlformats.org/officeDocument/2006/relationships/hyperlink" Target="https://doi.org/10.1007/978-3-319-02444-8_2" TargetMode="External"/><Relationship Id="rId277" Type="http://schemas.openxmlformats.org/officeDocument/2006/relationships/hyperlink" Target="https://doi.org/10.1016/j.robot.2017.09.018" TargetMode="External"/><Relationship Id="rId155" Type="http://schemas.openxmlformats.org/officeDocument/2006/relationships/hyperlink" Target="https://doi.org/10.1016/j.jss.2010.01.049" TargetMode="External"/><Relationship Id="rId276" Type="http://schemas.openxmlformats.org/officeDocument/2006/relationships/hyperlink" Target="https://doi.org/10.1109/SP.2017.20" TargetMode="External"/><Relationship Id="rId107" Type="http://schemas.openxmlformats.org/officeDocument/2006/relationships/hyperlink" Target="https://doi.org/10.1023/A:1018985923441" TargetMode="External"/><Relationship Id="rId228" Type="http://schemas.openxmlformats.org/officeDocument/2006/relationships/hyperlink" Target="https://doi.org/10.1109/humanoids.2011.6100855" TargetMode="External"/><Relationship Id="rId106" Type="http://schemas.openxmlformats.org/officeDocument/2006/relationships/hyperlink" Target="https://cdn.aaai.org/AAAI/1996/AAAI96-180.pdf" TargetMode="External"/><Relationship Id="rId227" Type="http://schemas.openxmlformats.org/officeDocument/2006/relationships/hyperlink" Target="https://doi.org/10.1109/JIOT.2019.2907707" TargetMode="External"/><Relationship Id="rId105" Type="http://schemas.openxmlformats.org/officeDocument/2006/relationships/hyperlink" Target="https://www.diva-portal.org/smash/record.jsf?pid=diva2%3A214200&amp;dswid=4727" TargetMode="External"/><Relationship Id="rId226" Type="http://schemas.openxmlformats.org/officeDocument/2006/relationships/hyperlink" Target="https://doi.org/10.1007/978-3-319-08338-4_25" TargetMode="External"/><Relationship Id="rId104" Type="http://schemas.openxmlformats.org/officeDocument/2006/relationships/hyperlink" Target="https://www.iaeng.org/publication/IMECS2012/IMECS2012_pp603-607.pdf" TargetMode="External"/><Relationship Id="rId225" Type="http://schemas.openxmlformats.org/officeDocument/2006/relationships/hyperlink" Target="https://doi.org/10.1109/iccv.2009.5459469" TargetMode="External"/><Relationship Id="rId109" Type="http://schemas.openxmlformats.org/officeDocument/2006/relationships/hyperlink" Target="https://doi.org/10.1109/robot.2004.1302508" TargetMode="External"/><Relationship Id="rId108" Type="http://schemas.openxmlformats.org/officeDocument/2006/relationships/hyperlink" Target="https://doi.org/10.1002/rob.21439" TargetMode="External"/><Relationship Id="rId229" Type="http://schemas.openxmlformats.org/officeDocument/2006/relationships/hyperlink" Target="https://doi.org/10.1109/iros.2010.5650630" TargetMode="External"/><Relationship Id="rId220" Type="http://schemas.openxmlformats.org/officeDocument/2006/relationships/hyperlink" Target="https://doi.org/10.1162/EVCO_a_00172" TargetMode="External"/><Relationship Id="rId103" Type="http://schemas.openxmlformats.org/officeDocument/2006/relationships/hyperlink" Target="https://www.w3.org/Submission/2004/SUBM-OWL-S-20041122/" TargetMode="External"/><Relationship Id="rId224" Type="http://schemas.openxmlformats.org/officeDocument/2006/relationships/hyperlink" Target="https://doi.org/10.1109/TITS.2008.2011697" TargetMode="External"/><Relationship Id="rId102" Type="http://schemas.openxmlformats.org/officeDocument/2006/relationships/hyperlink" Target="https://doi.org/10.1007/978-3-642-10601-9_6" TargetMode="External"/><Relationship Id="rId223" Type="http://schemas.openxmlformats.org/officeDocument/2006/relationships/hyperlink" Target="https://doi.org/10.1109/MM.2015.133" TargetMode="External"/><Relationship Id="rId101" Type="http://schemas.openxmlformats.org/officeDocument/2006/relationships/hyperlink" Target="https://www.researchgate.net/publication/269465047_Towards_a_Logic-Based_Framework_for_Analyzing_Stream_Reasoning" TargetMode="External"/><Relationship Id="rId222" Type="http://schemas.openxmlformats.org/officeDocument/2006/relationships/hyperlink" Target="https://doi.org/10.1109/seams.2019.00017" TargetMode="External"/><Relationship Id="rId100" Type="http://schemas.openxmlformats.org/officeDocument/2006/relationships/hyperlink" Target="https://www.diva-portal.org/smash/record.jsf?pid=diva2%3A159661&amp;dswid=7690" TargetMode="External"/><Relationship Id="rId221" Type="http://schemas.openxmlformats.org/officeDocument/2006/relationships/hyperlink" Target="https://doi.org/10.1145/3205651.3208269" TargetMode="External"/><Relationship Id="rId217" Type="http://schemas.openxmlformats.org/officeDocument/2006/relationships/hyperlink" Target="https://doi-org.tudelft.idm.oclc.org/10.7551/mitpress/1429.001.0001" TargetMode="External"/><Relationship Id="rId216" Type="http://schemas.openxmlformats.org/officeDocument/2006/relationships/hyperlink" Target="https://doi.org/10.1007/3-540-64957-3_63" TargetMode="External"/><Relationship Id="rId215" Type="http://schemas.openxmlformats.org/officeDocument/2006/relationships/hyperlink" Target="https://doi.org/10.1109/ase.2011.6100127" TargetMode="External"/><Relationship Id="rId214" Type="http://schemas.openxmlformats.org/officeDocument/2006/relationships/hyperlink" Target="https://doi.org/10.1007/978-3-319-32552-1_76" TargetMode="External"/><Relationship Id="rId335" Type="http://schemas.openxmlformats.org/officeDocument/2006/relationships/drawing" Target="../drawings/drawing3.xml"/><Relationship Id="rId219" Type="http://schemas.openxmlformats.org/officeDocument/2006/relationships/hyperlink" Target="https://doi.org/10.1613/jair.613" TargetMode="External"/><Relationship Id="rId218" Type="http://schemas.openxmlformats.org/officeDocument/2006/relationships/hyperlink" Target="https://doi.org/10.1145/1830483.1830505" TargetMode="External"/><Relationship Id="rId330" Type="http://schemas.openxmlformats.org/officeDocument/2006/relationships/hyperlink" Target="https://citeseerx.ist.psu.edu/document?repid=rep1&amp;type=pdf&amp;doi=e3f414880e2567604769091c9d7758b7c186102b" TargetMode="External"/><Relationship Id="rId213" Type="http://schemas.openxmlformats.org/officeDocument/2006/relationships/hyperlink" Target="https://doi.org/10.1109/vtcfall.2018.8690819" TargetMode="External"/><Relationship Id="rId334" Type="http://schemas.openxmlformats.org/officeDocument/2006/relationships/hyperlink" Target="https://doi.org/10.1109/TII.2012.2198662" TargetMode="External"/><Relationship Id="rId212" Type="http://schemas.openxmlformats.org/officeDocument/2006/relationships/hyperlink" Target="https://doi.org/10.1109/icra.2014.6907757" TargetMode="External"/><Relationship Id="rId333" Type="http://schemas.openxmlformats.org/officeDocument/2006/relationships/hyperlink" Target="https://doi.org/10.1109/SMC-IT.2011.14" TargetMode="External"/><Relationship Id="rId211" Type="http://schemas.openxmlformats.org/officeDocument/2006/relationships/hyperlink" Target="https://doi.org/10.1109/robot.2009.5152851" TargetMode="External"/><Relationship Id="rId332" Type="http://schemas.openxmlformats.org/officeDocument/2006/relationships/hyperlink" Target="https://doi.org/10.1007/s10922-014-9317-5" TargetMode="External"/><Relationship Id="rId210" Type="http://schemas.openxmlformats.org/officeDocument/2006/relationships/hyperlink" Target="https://doi.org/10.1186/s40064-016-3573-7" TargetMode="External"/><Relationship Id="rId331" Type="http://schemas.openxmlformats.org/officeDocument/2006/relationships/hyperlink" Target="https://scopelab.ai/files/Pradhan2014b.pdf" TargetMode="External"/><Relationship Id="rId129" Type="http://schemas.openxmlformats.org/officeDocument/2006/relationships/hyperlink" Target="https://proceedings.neurips.cc/paper_files/paper/2001/file/c5b2cebf15b205503560c4e8e6d1ea78-Paper.pdf" TargetMode="External"/><Relationship Id="rId128" Type="http://schemas.openxmlformats.org/officeDocument/2006/relationships/hyperlink" Target="https://doi.org/10.1007/978-3-642-35813-5_1" TargetMode="External"/><Relationship Id="rId249" Type="http://schemas.openxmlformats.org/officeDocument/2006/relationships/hyperlink" Target="https://doi.org/10.1016/S0094-114X(99)00006-3" TargetMode="External"/><Relationship Id="rId127" Type="http://schemas.openxmlformats.org/officeDocument/2006/relationships/hyperlink" Target="https://doi.org/10.1007/s10515-018-0234-9" TargetMode="External"/><Relationship Id="rId248" Type="http://schemas.openxmlformats.org/officeDocument/2006/relationships/hyperlink" Target="https://doi.org/10.1109/ssrr.2013.6719377" TargetMode="External"/><Relationship Id="rId126" Type="http://schemas.openxmlformats.org/officeDocument/2006/relationships/hyperlink" Target="https://doi.org/10.1007/978-3-319-65831-5_1" TargetMode="External"/><Relationship Id="rId247" Type="http://schemas.openxmlformats.org/officeDocument/2006/relationships/hyperlink" Target="https://doi.org/10.1109/ssrr.2010.5981569" TargetMode="External"/><Relationship Id="rId121" Type="http://schemas.openxmlformats.org/officeDocument/2006/relationships/hyperlink" Target="https://doi.org/10.1109/mcsa.2000.895380" TargetMode="External"/><Relationship Id="rId242" Type="http://schemas.openxmlformats.org/officeDocument/2006/relationships/hyperlink" Target="https://doi.org/10.1109/iros.2013.6696915" TargetMode="External"/><Relationship Id="rId120" Type="http://schemas.openxmlformats.org/officeDocument/2006/relationships/hyperlink" Target="https://doi.org/10.1145/1370018.1370038" TargetMode="External"/><Relationship Id="rId241" Type="http://schemas.openxmlformats.org/officeDocument/2006/relationships/hyperlink" Target="https://aisberg.unibg.it/handle/10446/86153" TargetMode="External"/><Relationship Id="rId240" Type="http://schemas.openxmlformats.org/officeDocument/2006/relationships/hyperlink" Target="https://doi.org/10.1007/978-3-642-38484-4_31" TargetMode="External"/><Relationship Id="rId125" Type="http://schemas.openxmlformats.org/officeDocument/2006/relationships/hyperlink" Target="https://core.ac.uk/download/pdf/62905126.pdf" TargetMode="External"/><Relationship Id="rId246" Type="http://schemas.openxmlformats.org/officeDocument/2006/relationships/hyperlink" Target="https://doi.org/10.1109/iros.2014.6942765" TargetMode="External"/><Relationship Id="rId124" Type="http://schemas.openxmlformats.org/officeDocument/2006/relationships/hyperlink" Target="https://doi.org/10.1007/s00165-016-0360-8" TargetMode="External"/><Relationship Id="rId245" Type="http://schemas.openxmlformats.org/officeDocument/2006/relationships/hyperlink" Target="https://doi.org/10.1109/robot.2010.5509539" TargetMode="External"/><Relationship Id="rId123" Type="http://schemas.openxmlformats.org/officeDocument/2006/relationships/hyperlink" Target="https://doi.org/10.1109/TMECH.2004.842245" TargetMode="External"/><Relationship Id="rId244" Type="http://schemas.openxmlformats.org/officeDocument/2006/relationships/hyperlink" Target="https://doi.org/10.1109/iros.2005.1545523" TargetMode="External"/><Relationship Id="rId122" Type="http://schemas.openxmlformats.org/officeDocument/2006/relationships/hyperlink" Target="https://doi.org/10.1145/635508.605407" TargetMode="External"/><Relationship Id="rId243" Type="http://schemas.openxmlformats.org/officeDocument/2006/relationships/hyperlink" Target="https://doi.org/10.1016/j.mechatronics.2013.11.006" TargetMode="External"/><Relationship Id="rId95" Type="http://schemas.openxmlformats.org/officeDocument/2006/relationships/hyperlink" Target="https://doi.org/10.1016/j.robot.2008.06.006" TargetMode="External"/><Relationship Id="rId94" Type="http://schemas.openxmlformats.org/officeDocument/2006/relationships/hyperlink" Target="https://doi.org/10.1109/robot.2005.1570327" TargetMode="External"/><Relationship Id="rId97" Type="http://schemas.openxmlformats.org/officeDocument/2006/relationships/hyperlink" Target="https://doi.org/10.1038/scientificamerican0501-34" TargetMode="External"/><Relationship Id="rId96" Type="http://schemas.openxmlformats.org/officeDocument/2006/relationships/hyperlink" Target="https://doi.org/10.1109/iros.2008.4650962" TargetMode="External"/><Relationship Id="rId99" Type="http://schemas.openxmlformats.org/officeDocument/2006/relationships/hyperlink" Target="https://content.iospress.com/articles/journal-of-intelligent-and-fuzzy-systems/ifs00220" TargetMode="External"/><Relationship Id="rId98" Type="http://schemas.openxmlformats.org/officeDocument/2006/relationships/hyperlink" Target="https://www.researchgate.net/publication/221393453_A_Spatial_Logic_based_on_Regions_and_Connection" TargetMode="External"/><Relationship Id="rId91" Type="http://schemas.openxmlformats.org/officeDocument/2006/relationships/hyperlink" Target="https://doi.org/10.1016/j.websem.2012.05.003" TargetMode="External"/><Relationship Id="rId90" Type="http://schemas.openxmlformats.org/officeDocument/2006/relationships/hyperlink" Target="https://doi.org/10.3390/s110807568" TargetMode="External"/><Relationship Id="rId93" Type="http://schemas.openxmlformats.org/officeDocument/2006/relationships/hyperlink" Target="https://doi.org/10.1504/IJWGS.2005.007545" TargetMode="External"/><Relationship Id="rId92" Type="http://schemas.openxmlformats.org/officeDocument/2006/relationships/hyperlink" Target="https://doi.org/10.1007/978-3-540-30581-1_5" TargetMode="External"/><Relationship Id="rId118" Type="http://schemas.openxmlformats.org/officeDocument/2006/relationships/hyperlink" Target="https://doi.org/10.1109/70.681242" TargetMode="External"/><Relationship Id="rId239" Type="http://schemas.openxmlformats.org/officeDocument/2006/relationships/hyperlink" Target="https://dl.acm.org/doi/10.1145/1380584.1380585" TargetMode="External"/><Relationship Id="rId117" Type="http://schemas.openxmlformats.org/officeDocument/2006/relationships/hyperlink" Target="https://doi.org/10.1109/recosoc.2012.6322887" TargetMode="External"/><Relationship Id="rId238" Type="http://schemas.openxmlformats.org/officeDocument/2006/relationships/hyperlink" Target="http://www.cs.cmu.edu/~reids/papers/exec_isairas05.pdf" TargetMode="External"/><Relationship Id="rId116" Type="http://schemas.openxmlformats.org/officeDocument/2006/relationships/hyperlink" Target="https://doi.org/10.1109/ssrr.2012.6523874" TargetMode="External"/><Relationship Id="rId237" Type="http://schemas.openxmlformats.org/officeDocument/2006/relationships/hyperlink" Target="https://doi.org/10.1007/3540608052_67" TargetMode="External"/><Relationship Id="rId115" Type="http://schemas.openxmlformats.org/officeDocument/2006/relationships/hyperlink" Target="https://doi.org/10.1109/iros.2013.6696840" TargetMode="External"/><Relationship Id="rId236" Type="http://schemas.openxmlformats.org/officeDocument/2006/relationships/hyperlink" Target="https://doi.org/10.1109/aero.1997.574422" TargetMode="External"/><Relationship Id="rId119" Type="http://schemas.openxmlformats.org/officeDocument/2006/relationships/hyperlink" Target="https://doi.org/10.1109/FOSE.2007.19" TargetMode="External"/><Relationship Id="rId110" Type="http://schemas.openxmlformats.org/officeDocument/2006/relationships/hyperlink" Target="https://doi.org/10.1007/s11334-013-0214-y" TargetMode="External"/><Relationship Id="rId231" Type="http://schemas.openxmlformats.org/officeDocument/2006/relationships/hyperlink" Target="https://doi.org/10.1109/icra.2014.6907806" TargetMode="External"/><Relationship Id="rId230" Type="http://schemas.openxmlformats.org/officeDocument/2006/relationships/hyperlink" Target="https://doi.org/10.1109/icse.2015.269" TargetMode="External"/><Relationship Id="rId114" Type="http://schemas.openxmlformats.org/officeDocument/2006/relationships/hyperlink" Target="https://doi.org/10.1145/2362336.2362349" TargetMode="External"/><Relationship Id="rId235" Type="http://schemas.openxmlformats.org/officeDocument/2006/relationships/hyperlink" Target="https://doi.org/10.1109/icra.2014.6906588" TargetMode="External"/><Relationship Id="rId113" Type="http://schemas.openxmlformats.org/officeDocument/2006/relationships/hyperlink" Target="https://doi.org/10.1109/32.637390" TargetMode="External"/><Relationship Id="rId234" Type="http://schemas.openxmlformats.org/officeDocument/2006/relationships/hyperlink" Target="https://doi.org/10.1145/2362536.2362548" TargetMode="External"/><Relationship Id="rId112" Type="http://schemas.openxmlformats.org/officeDocument/2006/relationships/hyperlink" Target="https://doi.org/10.1109/icar.2005.1507502" TargetMode="External"/><Relationship Id="rId233" Type="http://schemas.openxmlformats.org/officeDocument/2006/relationships/hyperlink" Target="https://aisberg.unibg.it/retrieve/e40f7b84-1ab5-afca-e053-6605fe0aeaf2/EclipseIT2011.pdf" TargetMode="External"/><Relationship Id="rId111" Type="http://schemas.openxmlformats.org/officeDocument/2006/relationships/hyperlink" Target="https://doi.org/10.1017/S0263574710000457" TargetMode="External"/><Relationship Id="rId232" Type="http://schemas.openxmlformats.org/officeDocument/2006/relationships/hyperlink" Target="https://apps.dtic.mil/sti/pdfs/ADA235785.pdf" TargetMode="External"/><Relationship Id="rId305" Type="http://schemas.openxmlformats.org/officeDocument/2006/relationships/hyperlink" Target="http://www.sdalab.com/projects/resist" TargetMode="External"/><Relationship Id="rId304" Type="http://schemas.openxmlformats.org/officeDocument/2006/relationships/hyperlink" Target="http://www.mobilerobots.com/" TargetMode="External"/><Relationship Id="rId303" Type="http://schemas.openxmlformats.org/officeDocument/2006/relationships/hyperlink" Target="https://doi.org/10.1109/TSE.2011.3" TargetMode="External"/><Relationship Id="rId302" Type="http://schemas.openxmlformats.org/officeDocument/2006/relationships/hyperlink" Target="http://www.ibm.com/software/integration/optimization/cplex-optimizer" TargetMode="External"/><Relationship Id="rId309" Type="http://schemas.openxmlformats.org/officeDocument/2006/relationships/hyperlink" Target="https://doi.org/10.1504/IJWET.2015.069359" TargetMode="External"/><Relationship Id="rId308" Type="http://schemas.openxmlformats.org/officeDocument/2006/relationships/hyperlink" Target="https://doi.org/10.1007/s10270-016-0543-z" TargetMode="External"/><Relationship Id="rId307" Type="http://schemas.openxmlformats.org/officeDocument/2006/relationships/hyperlink" Target="https://doi.org/10.1007/978-3-642-35813-5_4" TargetMode="External"/><Relationship Id="rId306" Type="http://schemas.openxmlformats.org/officeDocument/2006/relationships/hyperlink" Target="https://doi.ieeecomputersociety.org/10.1109/MS.2017.4121225" TargetMode="External"/><Relationship Id="rId301" Type="http://schemas.openxmlformats.org/officeDocument/2006/relationships/hyperlink" Target="https://d1wqtxts1xzle7.cloudfront.net/71158673/Formalizing_Model_Checking_on_Timed_Grap20211003-28264-cnjm2c.pdf?1633274879=&amp;response-content-disposition=inline%3B+filename%3DFormalizing_model_checking_on_timed_grap.pdf&amp;Expires=1727095274&amp;Signature=EcD6J9qVhzJOadwx-q50SQ4uFgU0~m4pNPTQVfRUOoydT4p5tCBORAeonfufKK0avaoVGwvHTEJhAIZFBkdkXlxGnEdYHS~H5SM1opiW7DIQyX5bLu87MJezRF6xOyy737a6ptBGDzKtpK9LYeIG~GUGomFJiGBzJrZrxXrNbUn-58d8ncHILduNTfJ59qTyLEF~8PUsu5tVnX6WJrlWbNi756i4P9IUmrDgPoaB785Pe3dtdfT0ihYq0xc7vv3beKaB8tzyZbwROdlIk~7yhR~J3xnPsf9OhVeIzKyD1qzrxLvMxVwf5f1CyIB5TZF1Drkknh2VChXjaf70fpErpA__&amp;Key-Pair-Id=APKAJLOHF5GGSLRBV4ZA" TargetMode="External"/><Relationship Id="rId300" Type="http://schemas.openxmlformats.org/officeDocument/2006/relationships/hyperlink" Target="https://doi.org/10.1145/2025113.2025148" TargetMode="External"/><Relationship Id="rId206" Type="http://schemas.openxmlformats.org/officeDocument/2006/relationships/hyperlink" Target="https://doi.org/10.1109/ivs.2013.6629509" TargetMode="External"/><Relationship Id="rId327" Type="http://schemas.openxmlformats.org/officeDocument/2006/relationships/hyperlink" Target="https://doi.org/10.1007/s11334-013-0215-x" TargetMode="External"/><Relationship Id="rId205" Type="http://schemas.openxmlformats.org/officeDocument/2006/relationships/hyperlink" Target="https://www.cs.toronto.edu/~hinton/absps/reluICML.pdf" TargetMode="External"/><Relationship Id="rId326" Type="http://schemas.openxmlformats.org/officeDocument/2006/relationships/hyperlink" Target="https://doi.org/10.1109/MS.2013.143" TargetMode="External"/><Relationship Id="rId204" Type="http://schemas.openxmlformats.org/officeDocument/2006/relationships/hyperlink" Target="http://hdl.handle.net/1721.1/42301" TargetMode="External"/><Relationship Id="rId325" Type="http://schemas.openxmlformats.org/officeDocument/2006/relationships/hyperlink" Target="https://ceur-ws.org/Vol-1235/MoDeVVa2014-complete.pdf" TargetMode="External"/><Relationship Id="rId203" Type="http://schemas.openxmlformats.org/officeDocument/2006/relationships/hyperlink" Target="https://www.academia.edu/download/25396037/0262287196chap43.pdf" TargetMode="External"/><Relationship Id="rId324" Type="http://schemas.openxmlformats.org/officeDocument/2006/relationships/hyperlink" Target="http://dx.doi.org/10.1109/ISORCW.2015.56" TargetMode="External"/><Relationship Id="rId209" Type="http://schemas.openxmlformats.org/officeDocument/2006/relationships/hyperlink" Target="https://doi.org/10.1109/MCS.2018.2876958" TargetMode="External"/><Relationship Id="rId208" Type="http://schemas.openxmlformats.org/officeDocument/2006/relationships/hyperlink" Target="https://doi.org/10.1109/70.833191" TargetMode="External"/><Relationship Id="rId329" Type="http://schemas.openxmlformats.org/officeDocument/2006/relationships/hyperlink" Target="https://www.researchgate.net/profile/Abhishek_Dubey7/publication/265481282_RFDMon_A_Real-Time_and_Fault-Tolerant_Distributed_System_Monitoring_Approach/links/54cdb1f10cf29ca810f8ab7f/RFDMon-A-Real-Time-and-Fault-Tolerant-Distributed-System-Monitoring-Approach.pdf" TargetMode="External"/><Relationship Id="rId207" Type="http://schemas.openxmlformats.org/officeDocument/2006/relationships/hyperlink" Target="https://doi.org/10.1109/iros.1999.812832" TargetMode="External"/><Relationship Id="rId328" Type="http://schemas.openxmlformats.org/officeDocument/2006/relationships/hyperlink" Target="http://dx.doi.org/10.1145/1988008.1988010" TargetMode="External"/><Relationship Id="rId202" Type="http://schemas.openxmlformats.org/officeDocument/2006/relationships/hyperlink" Target="https://proceedings.neurips.cc/paper_files/paper/2010/file/abea47ba24142ed16b7d8fbf2c740e0d-Paper.pdf" TargetMode="External"/><Relationship Id="rId323" Type="http://schemas.openxmlformats.org/officeDocument/2006/relationships/hyperlink" Target="http://dx.doi.org/10.1109/ISORC.2014.36" TargetMode="External"/><Relationship Id="rId201" Type="http://schemas.openxmlformats.org/officeDocument/2006/relationships/hyperlink" Target="https://people.csail.mit.edu/brooks/papers/real-robots.pdf" TargetMode="External"/><Relationship Id="rId322" Type="http://schemas.openxmlformats.org/officeDocument/2006/relationships/hyperlink" Target="https://doi.org/10.1016/j.future.2013.10.019" TargetMode="External"/><Relationship Id="rId200" Type="http://schemas.openxmlformats.org/officeDocument/2006/relationships/hyperlink" Target="https://www.human-competitive.org/" TargetMode="External"/><Relationship Id="rId321" Type="http://schemas.openxmlformats.org/officeDocument/2006/relationships/hyperlink" Target="http://dx.doi.org/10.1145/2593458.2593459" TargetMode="External"/><Relationship Id="rId320" Type="http://schemas.openxmlformats.org/officeDocument/2006/relationships/hyperlink" Target="http://dx.doi.org/10.1016/j.scico.2015.04.002" TargetMode="External"/><Relationship Id="rId316" Type="http://schemas.openxmlformats.org/officeDocument/2006/relationships/hyperlink" Target="https://doi.org/10.1109/IRC.2017.20" TargetMode="External"/><Relationship Id="rId315" Type="http://schemas.openxmlformats.org/officeDocument/2006/relationships/hyperlink" Target="https://doi.org/10.1007/978-3-642-34327-8_33" TargetMode="External"/><Relationship Id="rId314" Type="http://schemas.openxmlformats.org/officeDocument/2006/relationships/hyperlink" Target="https://core.ac.uk/download/pdf/16435124.pdf" TargetMode="External"/><Relationship Id="rId313" Type="http://schemas.openxmlformats.org/officeDocument/2006/relationships/hyperlink" Target="https://ic.unicamp.br/~reltech/2017/17-05.pdf" TargetMode="External"/><Relationship Id="rId319" Type="http://schemas.openxmlformats.org/officeDocument/2006/relationships/hyperlink" Target="https://doi.org/10.1007/s10922-011-9201-5" TargetMode="External"/><Relationship Id="rId318" Type="http://schemas.openxmlformats.org/officeDocument/2006/relationships/hyperlink" Target="https://design.ros2.org/articles/why_ros2.html" TargetMode="External"/><Relationship Id="rId317" Type="http://schemas.openxmlformats.org/officeDocument/2006/relationships/hyperlink" Target="https://doi.org/10.1007/978-3-319-26054-9_20" TargetMode="External"/><Relationship Id="rId312" Type="http://schemas.openxmlformats.org/officeDocument/2006/relationships/hyperlink" Target="https://doi.org/10.1016/j.jss.2013.12.038" TargetMode="External"/><Relationship Id="rId311" Type="http://schemas.openxmlformats.org/officeDocument/2006/relationships/hyperlink" Target="https://ceur-ws.org/Vol-2019/modcomp_2.pdf" TargetMode="External"/><Relationship Id="rId310" Type="http://schemas.openxmlformats.org/officeDocument/2006/relationships/hyperlink" Target="https://doi.org/10.1002/spe.1077"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77.75"/>
    <col customWidth="1" min="4" max="4" width="51.63"/>
    <col customWidth="1" min="7" max="7" width="18.25"/>
  </cols>
  <sheetData>
    <row r="1">
      <c r="A1" s="1"/>
      <c r="B1" s="1"/>
      <c r="C1" s="1"/>
      <c r="D1" s="1"/>
      <c r="E1" s="1"/>
      <c r="F1" s="1"/>
      <c r="G1" s="1"/>
      <c r="I1" s="2"/>
    </row>
    <row r="2">
      <c r="A2" s="1" t="s">
        <v>0</v>
      </c>
      <c r="B2" s="1" t="s">
        <v>1</v>
      </c>
      <c r="H2" s="3" t="s">
        <v>2</v>
      </c>
      <c r="I2" s="2" t="s">
        <v>3</v>
      </c>
      <c r="J2" s="2" t="s">
        <v>4</v>
      </c>
    </row>
    <row r="3" ht="33.75" customHeight="1">
      <c r="A3" s="4">
        <v>3.0</v>
      </c>
      <c r="B3" s="5" t="s">
        <v>5</v>
      </c>
      <c r="C3" s="6">
        <v>2013.0</v>
      </c>
      <c r="D3" s="7" t="s">
        <v>6</v>
      </c>
      <c r="E3" s="7" t="s">
        <v>7</v>
      </c>
      <c r="F3" s="8" t="s">
        <v>8</v>
      </c>
      <c r="G3" s="7" t="s">
        <v>9</v>
      </c>
      <c r="H3" s="3" t="s">
        <v>10</v>
      </c>
      <c r="J3" s="3" t="s">
        <v>11</v>
      </c>
    </row>
    <row r="4">
      <c r="A4" s="9">
        <v>5.0</v>
      </c>
      <c r="B4" s="10" t="s">
        <v>12</v>
      </c>
      <c r="C4" s="11">
        <v>2016.0</v>
      </c>
      <c r="D4" s="10" t="s">
        <v>13</v>
      </c>
      <c r="E4" s="10" t="s">
        <v>14</v>
      </c>
      <c r="F4" s="12" t="s">
        <v>15</v>
      </c>
      <c r="G4" s="10" t="s">
        <v>9</v>
      </c>
      <c r="J4" s="3" t="s">
        <v>11</v>
      </c>
    </row>
    <row r="5">
      <c r="A5" s="9">
        <v>7.0</v>
      </c>
      <c r="B5" s="10" t="s">
        <v>16</v>
      </c>
      <c r="C5" s="11">
        <v>2017.0</v>
      </c>
      <c r="D5" s="10" t="s">
        <v>17</v>
      </c>
      <c r="E5" s="10" t="s">
        <v>18</v>
      </c>
      <c r="F5" s="12" t="s">
        <v>19</v>
      </c>
      <c r="G5" s="10" t="s">
        <v>20</v>
      </c>
      <c r="J5" s="3" t="s">
        <v>11</v>
      </c>
    </row>
    <row r="6">
      <c r="A6" s="9">
        <v>8.0</v>
      </c>
      <c r="B6" s="10" t="s">
        <v>21</v>
      </c>
      <c r="C6" s="11">
        <v>2014.0</v>
      </c>
      <c r="D6" s="10" t="s">
        <v>22</v>
      </c>
      <c r="E6" s="10" t="s">
        <v>23</v>
      </c>
      <c r="F6" s="12" t="s">
        <v>24</v>
      </c>
      <c r="G6" s="10" t="s">
        <v>20</v>
      </c>
      <c r="J6" s="3" t="s">
        <v>11</v>
      </c>
    </row>
    <row r="7">
      <c r="A7" s="9">
        <v>9.0</v>
      </c>
      <c r="B7" s="10" t="s">
        <v>25</v>
      </c>
      <c r="C7" s="11">
        <v>2020.0</v>
      </c>
      <c r="D7" s="10" t="s">
        <v>26</v>
      </c>
      <c r="E7" s="10" t="s">
        <v>27</v>
      </c>
      <c r="F7" s="12" t="s">
        <v>28</v>
      </c>
      <c r="G7" s="10" t="s">
        <v>29</v>
      </c>
      <c r="J7" s="3" t="s">
        <v>11</v>
      </c>
    </row>
    <row r="8">
      <c r="A8" s="9">
        <v>10.0</v>
      </c>
      <c r="B8" s="10" t="s">
        <v>30</v>
      </c>
      <c r="C8" s="11">
        <v>2017.0</v>
      </c>
      <c r="D8" s="10" t="s">
        <v>31</v>
      </c>
      <c r="E8" s="10" t="s">
        <v>32</v>
      </c>
      <c r="F8" s="12" t="s">
        <v>33</v>
      </c>
      <c r="G8" s="10" t="s">
        <v>20</v>
      </c>
      <c r="J8" s="3" t="s">
        <v>11</v>
      </c>
    </row>
    <row r="9">
      <c r="A9" s="9">
        <v>11.0</v>
      </c>
      <c r="B9" s="10" t="s">
        <v>34</v>
      </c>
      <c r="C9" s="11">
        <v>2015.0</v>
      </c>
      <c r="D9" s="10" t="s">
        <v>35</v>
      </c>
      <c r="E9" s="10" t="s">
        <v>36</v>
      </c>
      <c r="F9" s="12" t="s">
        <v>37</v>
      </c>
      <c r="G9" s="10" t="s">
        <v>29</v>
      </c>
      <c r="J9" s="3" t="s">
        <v>11</v>
      </c>
    </row>
    <row r="10">
      <c r="A10" s="9">
        <v>12.0</v>
      </c>
      <c r="B10" s="10" t="s">
        <v>38</v>
      </c>
      <c r="C10" s="11">
        <v>2013.0</v>
      </c>
      <c r="D10" s="10" t="s">
        <v>39</v>
      </c>
      <c r="E10" s="10" t="s">
        <v>40</v>
      </c>
      <c r="F10" s="12" t="s">
        <v>41</v>
      </c>
      <c r="G10" s="10" t="s">
        <v>20</v>
      </c>
      <c r="J10" s="3" t="s">
        <v>11</v>
      </c>
    </row>
    <row r="11">
      <c r="A11" s="9">
        <v>13.0</v>
      </c>
      <c r="B11" s="10" t="s">
        <v>42</v>
      </c>
      <c r="C11" s="11">
        <v>2020.0</v>
      </c>
      <c r="D11" s="10" t="s">
        <v>43</v>
      </c>
      <c r="E11" s="10" t="s">
        <v>44</v>
      </c>
      <c r="F11" s="12" t="s">
        <v>45</v>
      </c>
      <c r="G11" s="10" t="s">
        <v>20</v>
      </c>
      <c r="J11" s="3" t="s">
        <v>11</v>
      </c>
    </row>
    <row r="12">
      <c r="A12" s="13">
        <v>14.0</v>
      </c>
      <c r="B12" s="14" t="s">
        <v>46</v>
      </c>
      <c r="C12" s="15">
        <v>2015.0</v>
      </c>
      <c r="D12" s="16" t="s">
        <v>47</v>
      </c>
      <c r="E12" s="16" t="s">
        <v>48</v>
      </c>
      <c r="F12" s="17" t="s">
        <v>49</v>
      </c>
      <c r="G12" s="16" t="s">
        <v>20</v>
      </c>
      <c r="J12" s="3" t="s">
        <v>11</v>
      </c>
    </row>
    <row r="13">
      <c r="A13" s="13">
        <v>15.0</v>
      </c>
      <c r="B13" s="13" t="s">
        <v>50</v>
      </c>
      <c r="C13" s="13">
        <v>2021.0</v>
      </c>
      <c r="D13" s="13" t="s">
        <v>51</v>
      </c>
      <c r="E13" s="13" t="s">
        <v>52</v>
      </c>
      <c r="F13" s="18" t="s">
        <v>53</v>
      </c>
      <c r="G13" s="13" t="s">
        <v>9</v>
      </c>
      <c r="J13" s="3" t="s">
        <v>11</v>
      </c>
    </row>
    <row r="14">
      <c r="A14" s="3">
        <v>16.0</v>
      </c>
      <c r="B14" s="19" t="s">
        <v>54</v>
      </c>
      <c r="C14" s="20">
        <v>2015.0</v>
      </c>
      <c r="D14" s="19" t="s">
        <v>55</v>
      </c>
      <c r="E14" s="19" t="s">
        <v>56</v>
      </c>
      <c r="F14" s="21" t="s">
        <v>57</v>
      </c>
      <c r="G14" s="19" t="s">
        <v>20</v>
      </c>
      <c r="J14" s="3" t="s">
        <v>11</v>
      </c>
    </row>
    <row r="15">
      <c r="A15" s="3">
        <v>36.0</v>
      </c>
      <c r="B15" s="22" t="s">
        <v>58</v>
      </c>
      <c r="C15" s="23">
        <v>2023.0</v>
      </c>
      <c r="D15" s="22" t="s">
        <v>59</v>
      </c>
      <c r="E15" s="22" t="s">
        <v>60</v>
      </c>
      <c r="F15" s="24" t="s">
        <v>61</v>
      </c>
      <c r="G15" s="22" t="s">
        <v>20</v>
      </c>
      <c r="I15" s="3" t="s">
        <v>62</v>
      </c>
      <c r="J15" s="3" t="s">
        <v>11</v>
      </c>
    </row>
    <row r="16">
      <c r="A16" s="25" t="s">
        <v>63</v>
      </c>
      <c r="G16" s="26"/>
      <c r="H16" s="27"/>
      <c r="I16" s="27"/>
      <c r="J16" s="27"/>
    </row>
    <row r="17">
      <c r="A17" s="28">
        <v>38.0</v>
      </c>
      <c r="B17" s="28" t="s">
        <v>64</v>
      </c>
      <c r="C17" s="28">
        <v>2012.0</v>
      </c>
      <c r="D17" s="28" t="s">
        <v>65</v>
      </c>
      <c r="E17" s="29" t="s">
        <v>66</v>
      </c>
      <c r="F17" s="30" t="s">
        <v>67</v>
      </c>
      <c r="G17" s="31" t="s">
        <v>9</v>
      </c>
      <c r="H17" s="32"/>
      <c r="I17" s="28"/>
      <c r="J17" s="28" t="s">
        <v>11</v>
      </c>
      <c r="K17" s="33"/>
      <c r="L17" s="33"/>
      <c r="M17" s="33"/>
      <c r="N17" s="33"/>
      <c r="O17" s="33"/>
      <c r="P17" s="33"/>
      <c r="Q17" s="33"/>
      <c r="R17" s="33"/>
      <c r="S17" s="33"/>
      <c r="T17" s="33"/>
      <c r="U17" s="33"/>
      <c r="V17" s="33"/>
      <c r="W17" s="33"/>
      <c r="X17" s="33"/>
      <c r="Y17" s="33"/>
      <c r="Z17" s="33"/>
    </row>
    <row r="18">
      <c r="A18" s="28">
        <v>39.0</v>
      </c>
      <c r="B18" s="28" t="s">
        <v>68</v>
      </c>
      <c r="C18" s="28">
        <v>2013.0</v>
      </c>
      <c r="D18" s="28" t="s">
        <v>69</v>
      </c>
      <c r="E18" s="29" t="s">
        <v>70</v>
      </c>
      <c r="F18" s="30" t="s">
        <v>71</v>
      </c>
      <c r="G18" s="31" t="s">
        <v>72</v>
      </c>
      <c r="H18" s="32"/>
      <c r="I18" s="28"/>
      <c r="J18" s="28" t="s">
        <v>11</v>
      </c>
      <c r="K18" s="33"/>
      <c r="L18" s="33"/>
      <c r="M18" s="33"/>
      <c r="N18" s="33"/>
      <c r="O18" s="33"/>
      <c r="P18" s="33"/>
      <c r="Q18" s="33"/>
      <c r="R18" s="33"/>
      <c r="S18" s="33"/>
      <c r="T18" s="33"/>
      <c r="U18" s="33"/>
      <c r="V18" s="33"/>
      <c r="W18" s="33"/>
      <c r="X18" s="33"/>
      <c r="Y18" s="33"/>
      <c r="Z18" s="33"/>
    </row>
    <row r="19">
      <c r="A19" s="28">
        <v>40.0</v>
      </c>
      <c r="B19" s="28" t="s">
        <v>73</v>
      </c>
      <c r="C19" s="28">
        <v>2020.0</v>
      </c>
      <c r="D19" s="28" t="s">
        <v>74</v>
      </c>
      <c r="E19" s="29" t="s">
        <v>75</v>
      </c>
      <c r="F19" s="30" t="s">
        <v>76</v>
      </c>
      <c r="G19" s="31" t="s">
        <v>20</v>
      </c>
      <c r="H19" s="32"/>
      <c r="I19" s="28"/>
      <c r="J19" s="28" t="s">
        <v>11</v>
      </c>
      <c r="K19" s="33"/>
      <c r="L19" s="33"/>
      <c r="M19" s="33"/>
      <c r="N19" s="33"/>
      <c r="O19" s="33"/>
      <c r="P19" s="33"/>
      <c r="Q19" s="33"/>
      <c r="R19" s="33"/>
      <c r="S19" s="33"/>
      <c r="T19" s="33"/>
      <c r="U19" s="33"/>
      <c r="V19" s="33"/>
      <c r="W19" s="33"/>
      <c r="X19" s="33"/>
      <c r="Y19" s="33"/>
      <c r="Z19" s="33"/>
    </row>
    <row r="20">
      <c r="A20" s="28">
        <v>41.0</v>
      </c>
      <c r="B20" s="28" t="s">
        <v>77</v>
      </c>
      <c r="C20" s="28">
        <v>2016.0</v>
      </c>
      <c r="D20" s="28" t="s">
        <v>78</v>
      </c>
      <c r="E20" s="29" t="s">
        <v>79</v>
      </c>
      <c r="F20" s="30" t="s">
        <v>80</v>
      </c>
      <c r="G20" s="31" t="s">
        <v>72</v>
      </c>
      <c r="H20" s="32"/>
      <c r="I20" s="28"/>
      <c r="J20" s="28" t="s">
        <v>11</v>
      </c>
      <c r="K20" s="33"/>
      <c r="L20" s="33"/>
      <c r="M20" s="33"/>
      <c r="N20" s="33"/>
      <c r="O20" s="33"/>
      <c r="P20" s="33"/>
      <c r="Q20" s="33"/>
      <c r="R20" s="33"/>
      <c r="S20" s="33"/>
      <c r="T20" s="33"/>
      <c r="U20" s="33"/>
      <c r="V20" s="33"/>
      <c r="W20" s="33"/>
      <c r="X20" s="33"/>
      <c r="Y20" s="33"/>
      <c r="Z20" s="33"/>
    </row>
    <row r="21">
      <c r="A21" s="34" t="s">
        <v>81</v>
      </c>
    </row>
    <row r="22">
      <c r="A22" s="3">
        <v>17.0</v>
      </c>
      <c r="B22" s="3" t="s">
        <v>82</v>
      </c>
      <c r="C22" s="3">
        <v>2019.0</v>
      </c>
      <c r="D22" s="3" t="s">
        <v>83</v>
      </c>
      <c r="E22" s="35" t="s">
        <v>84</v>
      </c>
      <c r="F22" s="3">
        <v>5.0</v>
      </c>
      <c r="H22" s="3" t="s">
        <v>85</v>
      </c>
      <c r="K22" s="3" t="s">
        <v>11</v>
      </c>
      <c r="L22" s="3" t="s">
        <v>86</v>
      </c>
    </row>
    <row r="23">
      <c r="A23" s="3">
        <v>18.0</v>
      </c>
      <c r="B23" s="3" t="s">
        <v>87</v>
      </c>
      <c r="C23" s="3">
        <v>2015.0</v>
      </c>
      <c r="D23" s="3" t="s">
        <v>88</v>
      </c>
      <c r="E23" s="36" t="s">
        <v>89</v>
      </c>
      <c r="F23" s="3">
        <v>8.0</v>
      </c>
      <c r="H23" s="3" t="s">
        <v>90</v>
      </c>
    </row>
    <row r="24">
      <c r="A24" s="3">
        <v>20.0</v>
      </c>
      <c r="B24" s="3" t="s">
        <v>91</v>
      </c>
      <c r="C24" s="3">
        <v>2021.0</v>
      </c>
      <c r="D24" s="3" t="s">
        <v>92</v>
      </c>
      <c r="E24" s="36" t="s">
        <v>93</v>
      </c>
      <c r="F24" s="3">
        <v>11.0</v>
      </c>
      <c r="H24" s="3" t="s">
        <v>94</v>
      </c>
    </row>
    <row r="25">
      <c r="A25" s="3">
        <v>21.0</v>
      </c>
      <c r="B25" s="3" t="s">
        <v>95</v>
      </c>
      <c r="C25" s="3">
        <v>2017.0</v>
      </c>
      <c r="D25" s="3" t="s">
        <v>96</v>
      </c>
      <c r="E25" s="36" t="s">
        <v>97</v>
      </c>
      <c r="F25" s="3">
        <v>11.0</v>
      </c>
      <c r="H25" s="3" t="s">
        <v>98</v>
      </c>
    </row>
    <row r="26">
      <c r="A26" s="3">
        <v>23.0</v>
      </c>
      <c r="B26" s="3" t="s">
        <v>99</v>
      </c>
      <c r="C26" s="3">
        <v>2021.0</v>
      </c>
      <c r="D26" s="3" t="s">
        <v>100</v>
      </c>
      <c r="E26" s="36" t="s">
        <v>101</v>
      </c>
      <c r="F26" s="9">
        <v>12.0</v>
      </c>
      <c r="H26" s="3" t="s">
        <v>102</v>
      </c>
    </row>
    <row r="27">
      <c r="A27" s="3">
        <v>24.0</v>
      </c>
      <c r="B27" s="3" t="s">
        <v>103</v>
      </c>
      <c r="C27" s="3">
        <v>2019.0</v>
      </c>
      <c r="D27" s="3" t="s">
        <v>104</v>
      </c>
      <c r="E27" s="35" t="s">
        <v>105</v>
      </c>
      <c r="F27" s="9">
        <v>12.0</v>
      </c>
      <c r="H27" s="3" t="s">
        <v>106</v>
      </c>
    </row>
    <row r="28">
      <c r="A28" s="3">
        <v>25.0</v>
      </c>
      <c r="B28" s="3" t="s">
        <v>107</v>
      </c>
      <c r="C28" s="3">
        <v>2016.0</v>
      </c>
      <c r="D28" s="3" t="s">
        <v>108</v>
      </c>
      <c r="E28" s="35" t="s">
        <v>109</v>
      </c>
      <c r="F28" s="9">
        <v>12.0</v>
      </c>
      <c r="H28" s="3" t="s">
        <v>110</v>
      </c>
    </row>
    <row r="29">
      <c r="A29" s="3">
        <v>26.0</v>
      </c>
      <c r="B29" s="3" t="s">
        <v>111</v>
      </c>
      <c r="C29" s="3">
        <v>2018.0</v>
      </c>
      <c r="D29" s="37" t="s">
        <v>112</v>
      </c>
      <c r="E29" s="36" t="s">
        <v>113</v>
      </c>
      <c r="F29" s="9">
        <v>14.0</v>
      </c>
    </row>
    <row r="30">
      <c r="A30" s="3">
        <v>27.0</v>
      </c>
      <c r="B30" s="3" t="s">
        <v>114</v>
      </c>
      <c r="C30" s="3">
        <v>2016.0</v>
      </c>
      <c r="D30" s="3" t="s">
        <v>115</v>
      </c>
      <c r="E30" s="35" t="s">
        <v>116</v>
      </c>
      <c r="F30" s="9">
        <v>14.0</v>
      </c>
      <c r="H30" s="3" t="s">
        <v>117</v>
      </c>
    </row>
    <row r="31">
      <c r="A31" s="3">
        <v>28.0</v>
      </c>
      <c r="B31" s="3" t="s">
        <v>118</v>
      </c>
      <c r="C31" s="3">
        <v>2021.0</v>
      </c>
      <c r="D31" s="3" t="s">
        <v>119</v>
      </c>
      <c r="E31" s="36" t="s">
        <v>120</v>
      </c>
      <c r="F31" s="9">
        <v>14.0</v>
      </c>
    </row>
    <row r="32">
      <c r="A32" s="3">
        <v>29.0</v>
      </c>
      <c r="B32" s="3" t="s">
        <v>121</v>
      </c>
      <c r="C32" s="3">
        <v>2016.0</v>
      </c>
      <c r="D32" s="3" t="s">
        <v>122</v>
      </c>
      <c r="E32" s="36" t="s">
        <v>123</v>
      </c>
      <c r="F32" s="9">
        <v>14.0</v>
      </c>
    </row>
    <row r="33">
      <c r="A33" s="38">
        <v>37.0</v>
      </c>
      <c r="B33" s="38" t="s">
        <v>124</v>
      </c>
      <c r="C33" s="39">
        <v>2023.0</v>
      </c>
      <c r="D33" s="38" t="s">
        <v>125</v>
      </c>
      <c r="E33" s="40" t="s">
        <v>126</v>
      </c>
      <c r="F33" s="39">
        <v>9.0</v>
      </c>
      <c r="G33" s="34"/>
      <c r="H33" s="3" t="s">
        <v>127</v>
      </c>
    </row>
    <row r="34">
      <c r="A34" s="28">
        <v>42.0</v>
      </c>
      <c r="B34" s="28" t="s">
        <v>128</v>
      </c>
      <c r="C34" s="41">
        <v>2022.0</v>
      </c>
      <c r="D34" s="28" t="s">
        <v>129</v>
      </c>
      <c r="E34" s="42" t="s">
        <v>130</v>
      </c>
      <c r="F34" s="41">
        <v>40.0</v>
      </c>
      <c r="G34" s="26"/>
      <c r="H34" s="43"/>
      <c r="I34" s="27"/>
      <c r="J34" s="27"/>
      <c r="K34" s="27"/>
      <c r="L34" s="27"/>
      <c r="M34" s="27"/>
      <c r="N34" s="27"/>
      <c r="O34" s="27"/>
      <c r="P34" s="27"/>
      <c r="Q34" s="27"/>
      <c r="R34" s="27"/>
      <c r="S34" s="27"/>
      <c r="T34" s="27"/>
      <c r="U34" s="27"/>
      <c r="V34" s="27"/>
      <c r="W34" s="27"/>
      <c r="X34" s="27"/>
      <c r="Y34" s="27"/>
      <c r="Z34" s="27"/>
    </row>
    <row r="35">
      <c r="A35" s="28">
        <v>43.0</v>
      </c>
      <c r="B35" s="28" t="s">
        <v>131</v>
      </c>
      <c r="C35" s="41">
        <v>2023.0</v>
      </c>
      <c r="D35" s="28" t="s">
        <v>132</v>
      </c>
      <c r="E35" s="42" t="s">
        <v>133</v>
      </c>
      <c r="F35" s="41">
        <v>40.0</v>
      </c>
      <c r="G35" s="26"/>
      <c r="H35" s="43"/>
      <c r="I35" s="27"/>
      <c r="J35" s="27"/>
      <c r="K35" s="27"/>
      <c r="L35" s="27"/>
      <c r="M35" s="27"/>
      <c r="N35" s="27"/>
      <c r="O35" s="27"/>
      <c r="P35" s="27"/>
      <c r="Q35" s="27"/>
      <c r="R35" s="27"/>
      <c r="S35" s="27"/>
      <c r="T35" s="27"/>
      <c r="U35" s="27"/>
      <c r="V35" s="27"/>
      <c r="W35" s="27"/>
      <c r="X35" s="27"/>
      <c r="Y35" s="27"/>
      <c r="Z35" s="27"/>
    </row>
    <row r="36">
      <c r="A36" s="28">
        <v>44.0</v>
      </c>
      <c r="B36" s="28" t="s">
        <v>134</v>
      </c>
      <c r="C36" s="41">
        <v>2022.0</v>
      </c>
      <c r="D36" s="28" t="s">
        <v>135</v>
      </c>
      <c r="E36" s="42" t="s">
        <v>136</v>
      </c>
      <c r="F36" s="41">
        <v>40.0</v>
      </c>
      <c r="G36" s="26"/>
      <c r="H36" s="43"/>
      <c r="I36" s="27"/>
      <c r="J36" s="27"/>
      <c r="K36" s="27"/>
      <c r="L36" s="27"/>
      <c r="M36" s="27"/>
      <c r="N36" s="27"/>
      <c r="O36" s="27"/>
      <c r="P36" s="27"/>
      <c r="Q36" s="27"/>
      <c r="R36" s="27"/>
      <c r="S36" s="27"/>
      <c r="T36" s="27"/>
      <c r="U36" s="27"/>
      <c r="V36" s="27"/>
      <c r="W36" s="27"/>
      <c r="X36" s="27"/>
      <c r="Y36" s="27"/>
      <c r="Z36" s="27"/>
    </row>
    <row r="37">
      <c r="A37" s="34" t="s">
        <v>137</v>
      </c>
    </row>
    <row r="38">
      <c r="A38" s="3">
        <v>30.0</v>
      </c>
      <c r="B38" s="44" t="s">
        <v>138</v>
      </c>
      <c r="C38" s="44">
        <v>2011.0</v>
      </c>
      <c r="D38" s="44" t="s">
        <v>139</v>
      </c>
      <c r="E38" s="45" t="s">
        <v>140</v>
      </c>
      <c r="F38" s="44">
        <v>5.0</v>
      </c>
      <c r="H38" s="3" t="s">
        <v>141</v>
      </c>
    </row>
    <row r="39">
      <c r="A39" s="3">
        <v>31.0</v>
      </c>
      <c r="B39" s="44" t="s">
        <v>142</v>
      </c>
      <c r="C39" s="44">
        <v>2016.0</v>
      </c>
      <c r="D39" s="44" t="s">
        <v>143</v>
      </c>
      <c r="E39" s="45" t="s">
        <v>144</v>
      </c>
      <c r="F39" s="44">
        <v>7.0</v>
      </c>
      <c r="H39" s="3" t="s">
        <v>145</v>
      </c>
    </row>
    <row r="40">
      <c r="A40" s="3">
        <v>32.0</v>
      </c>
      <c r="B40" s="44" t="s">
        <v>146</v>
      </c>
      <c r="C40" s="44">
        <v>2012.0</v>
      </c>
      <c r="D40" s="44" t="s">
        <v>147</v>
      </c>
      <c r="E40" s="45" t="s">
        <v>148</v>
      </c>
      <c r="F40" s="44" t="s">
        <v>149</v>
      </c>
      <c r="H40" s="3" t="s">
        <v>150</v>
      </c>
    </row>
    <row r="41">
      <c r="A41" s="3">
        <v>33.0</v>
      </c>
      <c r="B41" s="44" t="s">
        <v>151</v>
      </c>
      <c r="C41" s="44">
        <v>2019.0</v>
      </c>
      <c r="D41" s="44" t="s">
        <v>152</v>
      </c>
      <c r="E41" s="45" t="s">
        <v>153</v>
      </c>
      <c r="F41" s="44">
        <v>9.0</v>
      </c>
      <c r="H41" s="3" t="s">
        <v>154</v>
      </c>
    </row>
    <row r="42">
      <c r="A42" s="3">
        <v>34.0</v>
      </c>
      <c r="B42" s="44" t="s">
        <v>155</v>
      </c>
      <c r="C42" s="44">
        <v>2012.0</v>
      </c>
      <c r="D42" s="44" t="s">
        <v>156</v>
      </c>
      <c r="E42" s="45" t="s">
        <v>157</v>
      </c>
      <c r="F42" s="44">
        <v>9.0</v>
      </c>
      <c r="H42" s="3" t="s">
        <v>158</v>
      </c>
    </row>
    <row r="43">
      <c r="A43" s="3">
        <v>35.0</v>
      </c>
      <c r="B43" s="44" t="s">
        <v>159</v>
      </c>
      <c r="C43" s="44">
        <v>2013.0</v>
      </c>
      <c r="D43" s="44" t="s">
        <v>160</v>
      </c>
      <c r="E43" s="45" t="s">
        <v>161</v>
      </c>
      <c r="F43" s="44">
        <v>14.0</v>
      </c>
      <c r="H43" s="46" t="s">
        <v>162</v>
      </c>
    </row>
  </sheetData>
  <mergeCells count="4">
    <mergeCell ref="B2:G2"/>
    <mergeCell ref="A16:F16"/>
    <mergeCell ref="A21:G21"/>
    <mergeCell ref="A37:G37"/>
  </mergeCells>
  <hyperlinks>
    <hyperlink r:id="rId1" ref="F3"/>
    <hyperlink r:id="rId2" ref="F4"/>
    <hyperlink r:id="rId3" ref="F5"/>
    <hyperlink r:id="rId4" ref="F6"/>
    <hyperlink r:id="rId5" ref="F7"/>
    <hyperlink r:id="rId6" ref="F8"/>
    <hyperlink r:id="rId7" ref="F9"/>
    <hyperlink r:id="rId8" ref="F10"/>
    <hyperlink r:id="rId9" ref="F11"/>
    <hyperlink r:id="rId10" ref="F12"/>
    <hyperlink r:id="rId11" ref="F13"/>
    <hyperlink r:id="rId12" ref="F14"/>
    <hyperlink r:id="rId13" ref="F17"/>
    <hyperlink r:id="rId14" ref="F18"/>
    <hyperlink r:id="rId15" ref="F19"/>
    <hyperlink r:id="rId16" ref="F20"/>
    <hyperlink r:id="rId17" ref="E22"/>
    <hyperlink r:id="rId18" ref="E23"/>
    <hyperlink r:id="rId19" ref="E24"/>
    <hyperlink r:id="rId20" ref="E25"/>
    <hyperlink r:id="rId21" ref="E26"/>
    <hyperlink r:id="rId22" ref="E27"/>
    <hyperlink r:id="rId23" ref="E28"/>
    <hyperlink r:id="rId24" ref="E29"/>
    <hyperlink r:id="rId25" ref="E30"/>
    <hyperlink r:id="rId26" ref="E31"/>
    <hyperlink r:id="rId27" ref="E32"/>
    <hyperlink r:id="rId28" ref="E33"/>
    <hyperlink r:id="rId29" ref="E34"/>
    <hyperlink r:id="rId30" ref="E35"/>
    <hyperlink r:id="rId31" ref="E36"/>
    <hyperlink r:id="rId32" ref="E38"/>
    <hyperlink r:id="rId33" ref="E39"/>
    <hyperlink r:id="rId34" ref="E40"/>
    <hyperlink r:id="rId35" ref="E41"/>
    <hyperlink r:id="rId36" ref="E42"/>
    <hyperlink r:id="rId37" ref="E43"/>
  </hyperlinks>
  <drawing r:id="rId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72.38"/>
    <col customWidth="1" min="5" max="5" width="12.5"/>
    <col customWidth="1" min="15" max="15" width="12.75"/>
  </cols>
  <sheetData>
    <row r="1">
      <c r="A1" s="34" t="s">
        <v>163</v>
      </c>
    </row>
    <row r="2">
      <c r="A2" s="2" t="s">
        <v>164</v>
      </c>
      <c r="B2" s="47" t="s">
        <v>165</v>
      </c>
      <c r="C2" s="47" t="s">
        <v>166</v>
      </c>
      <c r="D2" s="47" t="s">
        <v>167</v>
      </c>
      <c r="E2" s="48" t="s">
        <v>168</v>
      </c>
      <c r="F2" s="49" t="s">
        <v>169</v>
      </c>
      <c r="G2" s="49" t="s">
        <v>170</v>
      </c>
      <c r="H2" s="49" t="s">
        <v>171</v>
      </c>
      <c r="I2" s="49" t="s">
        <v>172</v>
      </c>
      <c r="J2" s="50" t="s">
        <v>173</v>
      </c>
      <c r="K2" s="51" t="s">
        <v>174</v>
      </c>
      <c r="L2" s="51" t="s">
        <v>175</v>
      </c>
      <c r="M2" s="51" t="s">
        <v>176</v>
      </c>
      <c r="N2" s="51" t="s">
        <v>177</v>
      </c>
      <c r="O2" s="52" t="s">
        <v>178</v>
      </c>
      <c r="P2" s="52" t="s">
        <v>179</v>
      </c>
      <c r="Q2" s="53" t="s">
        <v>180</v>
      </c>
      <c r="R2" s="2" t="s">
        <v>181</v>
      </c>
    </row>
    <row r="3">
      <c r="A3" s="3">
        <v>3.0</v>
      </c>
      <c r="B3" s="3" t="s">
        <v>182</v>
      </c>
      <c r="C3" s="3">
        <v>2021.0</v>
      </c>
      <c r="D3" s="54" t="s">
        <v>183</v>
      </c>
      <c r="E3" s="35" t="s">
        <v>184</v>
      </c>
      <c r="F3" s="55"/>
      <c r="G3" s="55" t="s">
        <v>11</v>
      </c>
      <c r="H3" s="56"/>
      <c r="I3" s="56"/>
      <c r="J3" s="56"/>
      <c r="K3" s="57"/>
      <c r="L3" s="57"/>
      <c r="M3" s="57"/>
      <c r="N3" s="57"/>
      <c r="O3" s="58"/>
      <c r="P3" s="59"/>
      <c r="Q3" s="3" t="s">
        <v>185</v>
      </c>
    </row>
    <row r="4">
      <c r="A4" s="3">
        <v>3.0</v>
      </c>
      <c r="B4" s="3" t="s">
        <v>186</v>
      </c>
      <c r="C4" s="3">
        <v>2019.0</v>
      </c>
      <c r="D4" s="3" t="s">
        <v>187</v>
      </c>
      <c r="E4" s="36" t="s">
        <v>188</v>
      </c>
      <c r="F4" s="60"/>
      <c r="G4" s="61" t="s">
        <v>11</v>
      </c>
      <c r="H4" s="60"/>
      <c r="I4" s="60"/>
      <c r="J4" s="60"/>
      <c r="K4" s="58"/>
      <c r="L4" s="58"/>
      <c r="M4" s="58"/>
      <c r="N4" s="59" t="s">
        <v>11</v>
      </c>
      <c r="O4" s="58"/>
      <c r="P4" s="59"/>
      <c r="Q4" s="3" t="s">
        <v>185</v>
      </c>
    </row>
    <row r="5">
      <c r="A5" s="3">
        <v>3.0</v>
      </c>
      <c r="B5" s="3" t="s">
        <v>189</v>
      </c>
      <c r="E5" s="62"/>
      <c r="F5" s="60"/>
      <c r="G5" s="60"/>
      <c r="H5" s="60"/>
      <c r="I5" s="60"/>
      <c r="J5" s="60"/>
      <c r="K5" s="58"/>
      <c r="L5" s="59" t="s">
        <v>11</v>
      </c>
      <c r="M5" s="58"/>
      <c r="N5" s="58"/>
      <c r="O5" s="59"/>
      <c r="P5" s="59"/>
      <c r="Q5" s="3" t="s">
        <v>185</v>
      </c>
    </row>
    <row r="6">
      <c r="A6" s="3">
        <v>3.0</v>
      </c>
      <c r="B6" s="3" t="s">
        <v>190</v>
      </c>
      <c r="E6" s="62"/>
      <c r="F6" s="60"/>
      <c r="G6" s="60"/>
      <c r="H6" s="60"/>
      <c r="I6" s="60"/>
      <c r="J6" s="60"/>
      <c r="K6" s="58"/>
      <c r="L6" s="59" t="s">
        <v>11</v>
      </c>
      <c r="M6" s="58"/>
      <c r="N6" s="58"/>
      <c r="O6" s="59"/>
      <c r="P6" s="59"/>
      <c r="Q6" s="3" t="s">
        <v>185</v>
      </c>
    </row>
    <row r="7">
      <c r="A7" s="3">
        <v>5.0</v>
      </c>
      <c r="B7" s="3" t="s">
        <v>191</v>
      </c>
      <c r="C7" s="3">
        <v>2021.0</v>
      </c>
      <c r="D7" s="3" t="s">
        <v>192</v>
      </c>
      <c r="E7" s="36" t="s">
        <v>193</v>
      </c>
      <c r="F7" s="60"/>
      <c r="G7" s="60"/>
      <c r="H7" s="60"/>
      <c r="I7" s="60"/>
      <c r="J7" s="60"/>
      <c r="K7" s="58"/>
      <c r="L7" s="58"/>
      <c r="M7" s="58"/>
      <c r="N7" s="59" t="s">
        <v>11</v>
      </c>
      <c r="O7" s="58"/>
      <c r="P7" s="59"/>
      <c r="Q7" s="3" t="s">
        <v>185</v>
      </c>
    </row>
    <row r="8">
      <c r="A8" s="3">
        <v>5.0</v>
      </c>
      <c r="B8" s="3" t="s">
        <v>194</v>
      </c>
      <c r="C8" s="3">
        <v>2021.0</v>
      </c>
      <c r="D8" s="3" t="s">
        <v>195</v>
      </c>
      <c r="E8" s="36" t="s">
        <v>196</v>
      </c>
      <c r="F8" s="61" t="s">
        <v>11</v>
      </c>
      <c r="G8" s="60"/>
      <c r="H8" s="60"/>
      <c r="I8" s="60"/>
      <c r="J8" s="60"/>
      <c r="K8" s="58"/>
      <c r="L8" s="58"/>
      <c r="M8" s="58"/>
      <c r="N8" s="58"/>
      <c r="O8" s="58"/>
      <c r="P8" s="59"/>
      <c r="Q8" s="3" t="s">
        <v>185</v>
      </c>
    </row>
    <row r="9">
      <c r="A9" s="3">
        <v>5.0</v>
      </c>
      <c r="B9" s="3" t="s">
        <v>197</v>
      </c>
      <c r="C9" s="3">
        <v>2018.0</v>
      </c>
      <c r="D9" s="3" t="s">
        <v>198</v>
      </c>
      <c r="E9" s="36" t="s">
        <v>199</v>
      </c>
      <c r="F9" s="61" t="s">
        <v>11</v>
      </c>
      <c r="G9" s="60"/>
      <c r="H9" s="60"/>
      <c r="I9" s="60"/>
      <c r="J9" s="60"/>
      <c r="K9" s="58"/>
      <c r="L9" s="58"/>
      <c r="M9" s="58"/>
      <c r="N9" s="58"/>
      <c r="O9" s="58"/>
      <c r="P9" s="59"/>
      <c r="Q9" s="3" t="s">
        <v>185</v>
      </c>
    </row>
    <row r="10">
      <c r="A10" s="3">
        <v>5.0</v>
      </c>
      <c r="B10" s="3" t="s">
        <v>200</v>
      </c>
      <c r="C10" s="3">
        <v>2018.0</v>
      </c>
      <c r="D10" s="3" t="s">
        <v>201</v>
      </c>
      <c r="E10" s="36" t="s">
        <v>202</v>
      </c>
      <c r="F10" s="61" t="s">
        <v>11</v>
      </c>
      <c r="G10" s="60"/>
      <c r="H10" s="61" t="s">
        <v>11</v>
      </c>
      <c r="I10" s="60"/>
      <c r="J10" s="60"/>
      <c r="K10" s="58"/>
      <c r="L10" s="58"/>
      <c r="M10" s="58"/>
      <c r="N10" s="58"/>
      <c r="O10" s="58"/>
      <c r="P10" s="59"/>
      <c r="Q10" s="3" t="s">
        <v>185</v>
      </c>
    </row>
    <row r="11">
      <c r="A11" s="3">
        <v>5.0</v>
      </c>
      <c r="B11" s="3" t="s">
        <v>203</v>
      </c>
      <c r="C11" s="3">
        <v>2021.0</v>
      </c>
      <c r="D11" s="3" t="s">
        <v>204</v>
      </c>
      <c r="E11" s="36" t="s">
        <v>205</v>
      </c>
      <c r="F11" s="61" t="s">
        <v>11</v>
      </c>
      <c r="G11" s="60"/>
      <c r="H11" s="60"/>
      <c r="I11" s="60"/>
      <c r="J11" s="60"/>
      <c r="K11" s="58"/>
      <c r="L11" s="58"/>
      <c r="M11" s="58"/>
      <c r="N11" s="58"/>
      <c r="O11" s="58"/>
      <c r="P11" s="59"/>
      <c r="Q11" s="3" t="s">
        <v>185</v>
      </c>
    </row>
    <row r="12">
      <c r="A12" s="3">
        <v>5.0</v>
      </c>
      <c r="B12" s="3" t="s">
        <v>206</v>
      </c>
      <c r="C12" s="3">
        <v>2019.0</v>
      </c>
      <c r="D12" s="3" t="s">
        <v>207</v>
      </c>
      <c r="E12" s="36" t="s">
        <v>208</v>
      </c>
      <c r="F12" s="61" t="s">
        <v>11</v>
      </c>
      <c r="G12" s="60"/>
      <c r="H12" s="60"/>
      <c r="I12" s="60"/>
      <c r="J12" s="60"/>
      <c r="K12" s="58"/>
      <c r="L12" s="58"/>
      <c r="M12" s="58"/>
      <c r="N12" s="58"/>
      <c r="O12" s="58"/>
      <c r="P12" s="59"/>
      <c r="Q12" s="3" t="s">
        <v>185</v>
      </c>
    </row>
    <row r="13">
      <c r="A13" s="3" t="s">
        <v>209</v>
      </c>
      <c r="B13" s="3" t="s">
        <v>82</v>
      </c>
      <c r="C13" s="3">
        <v>2019.0</v>
      </c>
      <c r="D13" s="3" t="s">
        <v>83</v>
      </c>
      <c r="E13" s="36" t="s">
        <v>84</v>
      </c>
      <c r="F13" s="60"/>
      <c r="G13" s="60"/>
      <c r="H13" s="60"/>
      <c r="I13" s="60"/>
      <c r="J13" s="60"/>
      <c r="K13" s="58"/>
      <c r="L13" s="58"/>
      <c r="M13" s="58"/>
      <c r="N13" s="58"/>
      <c r="O13" s="58"/>
      <c r="P13" s="59"/>
      <c r="Q13" s="3" t="s">
        <v>210</v>
      </c>
      <c r="R13" s="3" t="s">
        <v>85</v>
      </c>
    </row>
    <row r="14">
      <c r="A14" s="3">
        <v>5.0</v>
      </c>
      <c r="B14" s="3" t="s">
        <v>211</v>
      </c>
      <c r="C14" s="3">
        <v>2019.0</v>
      </c>
      <c r="D14" s="3" t="s">
        <v>212</v>
      </c>
      <c r="E14" s="36" t="s">
        <v>213</v>
      </c>
      <c r="F14" s="61" t="s">
        <v>11</v>
      </c>
      <c r="G14" s="60"/>
      <c r="H14" s="60"/>
      <c r="I14" s="60"/>
      <c r="J14" s="60"/>
      <c r="K14" s="58"/>
      <c r="L14" s="58"/>
      <c r="M14" s="58"/>
      <c r="N14" s="58"/>
      <c r="O14" s="58"/>
      <c r="P14" s="59"/>
      <c r="Q14" s="3" t="s">
        <v>185</v>
      </c>
    </row>
    <row r="15">
      <c r="A15" s="3">
        <v>5.0</v>
      </c>
      <c r="B15" s="3" t="s">
        <v>214</v>
      </c>
      <c r="C15" s="3">
        <v>2019.0</v>
      </c>
      <c r="D15" s="3" t="s">
        <v>215</v>
      </c>
      <c r="E15" s="36" t="s">
        <v>216</v>
      </c>
      <c r="F15" s="61" t="s">
        <v>11</v>
      </c>
      <c r="G15" s="60"/>
      <c r="H15" s="60"/>
      <c r="I15" s="60"/>
      <c r="J15" s="60"/>
      <c r="K15" s="58"/>
      <c r="L15" s="58"/>
      <c r="M15" s="58"/>
      <c r="N15" s="58"/>
      <c r="O15" s="58"/>
      <c r="P15" s="59"/>
      <c r="Q15" s="3" t="s">
        <v>185</v>
      </c>
    </row>
    <row r="16">
      <c r="A16" s="3">
        <v>5.0</v>
      </c>
      <c r="B16" s="3" t="s">
        <v>217</v>
      </c>
      <c r="C16" s="3">
        <v>2018.0</v>
      </c>
      <c r="D16" s="3" t="s">
        <v>218</v>
      </c>
      <c r="E16" s="36" t="s">
        <v>219</v>
      </c>
      <c r="F16" s="60"/>
      <c r="G16" s="60"/>
      <c r="H16" s="60"/>
      <c r="I16" s="60"/>
      <c r="J16" s="60"/>
      <c r="K16" s="59" t="s">
        <v>11</v>
      </c>
      <c r="L16" s="58"/>
      <c r="M16" s="58"/>
      <c r="N16" s="58"/>
      <c r="O16" s="58"/>
      <c r="P16" s="59"/>
      <c r="Q16" s="3" t="s">
        <v>185</v>
      </c>
    </row>
    <row r="17">
      <c r="A17" s="3">
        <v>5.0</v>
      </c>
      <c r="B17" s="3" t="s">
        <v>220</v>
      </c>
      <c r="C17" s="3">
        <v>2020.0</v>
      </c>
      <c r="D17" s="3" t="s">
        <v>221</v>
      </c>
      <c r="E17" s="36" t="s">
        <v>222</v>
      </c>
      <c r="F17" s="61" t="s">
        <v>11</v>
      </c>
      <c r="G17" s="60"/>
      <c r="H17" s="60"/>
      <c r="I17" s="60"/>
      <c r="J17" s="60"/>
      <c r="K17" s="58"/>
      <c r="L17" s="58"/>
      <c r="M17" s="58"/>
      <c r="N17" s="58"/>
      <c r="O17" s="58"/>
      <c r="P17" s="59"/>
      <c r="Q17" s="3" t="s">
        <v>185</v>
      </c>
    </row>
    <row r="18">
      <c r="A18" s="3">
        <v>5.0</v>
      </c>
      <c r="B18" s="3" t="s">
        <v>223</v>
      </c>
      <c r="C18" s="3">
        <v>2017.0</v>
      </c>
      <c r="D18" s="3" t="s">
        <v>224</v>
      </c>
      <c r="E18" s="36" t="s">
        <v>225</v>
      </c>
      <c r="F18" s="60"/>
      <c r="G18" s="60"/>
      <c r="H18" s="60"/>
      <c r="I18" s="60"/>
      <c r="J18" s="60"/>
      <c r="K18" s="58"/>
      <c r="L18" s="59" t="s">
        <v>11</v>
      </c>
      <c r="M18" s="58"/>
      <c r="N18" s="58"/>
      <c r="O18" s="59"/>
      <c r="P18" s="59"/>
      <c r="Q18" s="3" t="s">
        <v>185</v>
      </c>
    </row>
    <row r="19">
      <c r="A19" s="3">
        <v>5.0</v>
      </c>
      <c r="B19" s="3" t="s">
        <v>226</v>
      </c>
      <c r="C19" s="3">
        <v>2022.0</v>
      </c>
      <c r="D19" s="3" t="s">
        <v>227</v>
      </c>
      <c r="E19" s="35" t="s">
        <v>228</v>
      </c>
      <c r="F19" s="61" t="s">
        <v>11</v>
      </c>
      <c r="G19" s="60"/>
      <c r="H19" s="60"/>
      <c r="I19" s="60"/>
      <c r="J19" s="60"/>
      <c r="K19" s="58"/>
      <c r="L19" s="58"/>
      <c r="M19" s="58"/>
      <c r="N19" s="58"/>
      <c r="O19" s="58"/>
      <c r="P19" s="59"/>
      <c r="Q19" s="3" t="s">
        <v>185</v>
      </c>
    </row>
    <row r="20">
      <c r="A20" s="3">
        <v>5.0</v>
      </c>
      <c r="B20" s="3" t="s">
        <v>229</v>
      </c>
      <c r="C20" s="3">
        <v>2017.0</v>
      </c>
      <c r="D20" s="3" t="s">
        <v>230</v>
      </c>
      <c r="E20" s="36" t="s">
        <v>231</v>
      </c>
      <c r="F20" s="61" t="s">
        <v>11</v>
      </c>
      <c r="G20" s="60"/>
      <c r="H20" s="60"/>
      <c r="I20" s="60"/>
      <c r="J20" s="60"/>
      <c r="K20" s="58"/>
      <c r="L20" s="58"/>
      <c r="M20" s="58"/>
      <c r="N20" s="58"/>
      <c r="O20" s="58"/>
      <c r="P20" s="59"/>
      <c r="Q20" s="3" t="s">
        <v>185</v>
      </c>
    </row>
    <row r="21">
      <c r="A21" s="3">
        <v>5.0</v>
      </c>
      <c r="B21" s="3" t="s">
        <v>232</v>
      </c>
      <c r="C21" s="3">
        <v>2019.0</v>
      </c>
      <c r="D21" s="3" t="s">
        <v>233</v>
      </c>
      <c r="E21" s="36" t="s">
        <v>234</v>
      </c>
      <c r="F21" s="61" t="s">
        <v>11</v>
      </c>
      <c r="G21" s="60"/>
      <c r="H21" s="60"/>
      <c r="I21" s="60"/>
      <c r="J21" s="60"/>
      <c r="K21" s="58"/>
      <c r="L21" s="58"/>
      <c r="M21" s="58"/>
      <c r="N21" s="58"/>
      <c r="O21" s="58"/>
      <c r="P21" s="59"/>
      <c r="Q21" s="3" t="s">
        <v>185</v>
      </c>
    </row>
    <row r="22">
      <c r="A22" s="3">
        <v>5.0</v>
      </c>
      <c r="B22" s="3" t="s">
        <v>235</v>
      </c>
      <c r="C22" s="3">
        <v>2019.0</v>
      </c>
      <c r="D22" s="3" t="s">
        <v>236</v>
      </c>
      <c r="E22" s="35" t="s">
        <v>237</v>
      </c>
      <c r="F22" s="61" t="s">
        <v>11</v>
      </c>
      <c r="G22" s="60"/>
      <c r="H22" s="60"/>
      <c r="I22" s="60"/>
      <c r="J22" s="60"/>
      <c r="K22" s="58"/>
      <c r="L22" s="58"/>
      <c r="M22" s="58"/>
      <c r="N22" s="58"/>
      <c r="O22" s="58"/>
      <c r="P22" s="59"/>
      <c r="Q22" s="3" t="s">
        <v>185</v>
      </c>
    </row>
    <row r="23">
      <c r="A23" s="3">
        <v>5.0</v>
      </c>
      <c r="B23" s="3" t="s">
        <v>238</v>
      </c>
      <c r="C23" s="3">
        <v>2021.0</v>
      </c>
      <c r="D23" s="3" t="s">
        <v>239</v>
      </c>
      <c r="E23" s="36" t="s">
        <v>240</v>
      </c>
      <c r="F23" s="60"/>
      <c r="G23" s="60"/>
      <c r="H23" s="60"/>
      <c r="I23" s="60"/>
      <c r="J23" s="60"/>
      <c r="K23" s="58"/>
      <c r="L23" s="59" t="s">
        <v>11</v>
      </c>
      <c r="M23" s="58"/>
      <c r="N23" s="59" t="s">
        <v>11</v>
      </c>
      <c r="O23" s="59"/>
      <c r="P23" s="59"/>
      <c r="Q23" s="3" t="s">
        <v>185</v>
      </c>
      <c r="R23" s="3" t="s">
        <v>241</v>
      </c>
    </row>
    <row r="24">
      <c r="A24" s="3">
        <v>5.0</v>
      </c>
      <c r="B24" s="3" t="s">
        <v>242</v>
      </c>
      <c r="C24" s="3">
        <v>2019.0</v>
      </c>
      <c r="D24" s="3" t="s">
        <v>243</v>
      </c>
      <c r="E24" s="36" t="s">
        <v>244</v>
      </c>
      <c r="F24" s="61" t="s">
        <v>11</v>
      </c>
      <c r="G24" s="60"/>
      <c r="H24" s="60"/>
      <c r="I24" s="60"/>
      <c r="J24" s="60"/>
      <c r="K24" s="58"/>
      <c r="L24" s="58"/>
      <c r="M24" s="58"/>
      <c r="N24" s="58"/>
      <c r="O24" s="58"/>
      <c r="P24" s="58"/>
      <c r="Q24" s="3" t="s">
        <v>185</v>
      </c>
    </row>
    <row r="25">
      <c r="A25" s="3">
        <v>5.0</v>
      </c>
      <c r="B25" s="3" t="s">
        <v>245</v>
      </c>
      <c r="C25" s="3">
        <v>2017.0</v>
      </c>
      <c r="D25" s="3" t="s">
        <v>246</v>
      </c>
      <c r="E25" s="36" t="s">
        <v>247</v>
      </c>
      <c r="F25" s="60"/>
      <c r="G25" s="60"/>
      <c r="H25" s="60"/>
      <c r="I25" s="60"/>
      <c r="J25" s="60"/>
      <c r="K25" s="58"/>
      <c r="L25" s="59" t="s">
        <v>11</v>
      </c>
      <c r="M25" s="58"/>
      <c r="N25" s="58"/>
      <c r="O25" s="59"/>
      <c r="P25" s="59"/>
      <c r="Q25" s="3" t="s">
        <v>185</v>
      </c>
    </row>
    <row r="26">
      <c r="A26" s="3">
        <v>5.0</v>
      </c>
      <c r="B26" s="3" t="s">
        <v>248</v>
      </c>
      <c r="C26" s="3">
        <v>2020.0</v>
      </c>
      <c r="D26" s="3" t="s">
        <v>249</v>
      </c>
      <c r="E26" s="36" t="s">
        <v>250</v>
      </c>
      <c r="F26" s="60"/>
      <c r="G26" s="60"/>
      <c r="H26" s="60"/>
      <c r="I26" s="60"/>
      <c r="J26" s="60"/>
      <c r="K26" s="58"/>
      <c r="L26" s="59" t="s">
        <v>11</v>
      </c>
      <c r="M26" s="58"/>
      <c r="N26" s="58"/>
      <c r="O26" s="59"/>
      <c r="P26" s="59"/>
      <c r="Q26" s="3" t="s">
        <v>185</v>
      </c>
    </row>
    <row r="27">
      <c r="A27" s="3">
        <v>5.0</v>
      </c>
      <c r="B27" s="3" t="s">
        <v>251</v>
      </c>
      <c r="C27" s="3">
        <v>2020.0</v>
      </c>
      <c r="D27" s="3" t="s">
        <v>252</v>
      </c>
      <c r="E27" s="36" t="s">
        <v>253</v>
      </c>
      <c r="F27" s="61" t="s">
        <v>11</v>
      </c>
      <c r="G27" s="60"/>
      <c r="H27" s="60"/>
      <c r="I27" s="60"/>
      <c r="J27" s="60"/>
      <c r="K27" s="58"/>
      <c r="L27" s="58"/>
      <c r="M27" s="58"/>
      <c r="N27" s="58"/>
      <c r="O27" s="58"/>
      <c r="P27" s="59"/>
      <c r="Q27" s="3" t="s">
        <v>185</v>
      </c>
    </row>
    <row r="28">
      <c r="A28" s="3">
        <v>5.0</v>
      </c>
      <c r="B28" s="3" t="s">
        <v>254</v>
      </c>
      <c r="C28" s="3">
        <v>2021.0</v>
      </c>
      <c r="D28" s="3" t="s">
        <v>255</v>
      </c>
      <c r="E28" s="36" t="s">
        <v>256</v>
      </c>
      <c r="F28" s="61" t="s">
        <v>11</v>
      </c>
      <c r="G28" s="60"/>
      <c r="H28" s="60"/>
      <c r="I28" s="60"/>
      <c r="J28" s="60"/>
      <c r="K28" s="58"/>
      <c r="L28" s="58"/>
      <c r="M28" s="58"/>
      <c r="N28" s="58"/>
      <c r="O28" s="58"/>
      <c r="P28" s="58"/>
      <c r="Q28" s="3" t="s">
        <v>185</v>
      </c>
    </row>
    <row r="29">
      <c r="A29" s="3">
        <v>5.0</v>
      </c>
      <c r="B29" s="3" t="s">
        <v>257</v>
      </c>
      <c r="C29" s="3">
        <v>2020.0</v>
      </c>
      <c r="D29" s="3" t="s">
        <v>258</v>
      </c>
      <c r="E29" s="36" t="s">
        <v>259</v>
      </c>
      <c r="F29" s="61" t="s">
        <v>11</v>
      </c>
      <c r="G29" s="60"/>
      <c r="H29" s="60"/>
      <c r="I29" s="60"/>
      <c r="J29" s="60"/>
      <c r="K29" s="58"/>
      <c r="L29" s="58"/>
      <c r="M29" s="58"/>
      <c r="N29" s="58"/>
      <c r="O29" s="58"/>
      <c r="P29" s="58"/>
      <c r="Q29" s="3" t="s">
        <v>185</v>
      </c>
    </row>
    <row r="30">
      <c r="A30" s="3">
        <v>5.0</v>
      </c>
      <c r="B30" s="3" t="s">
        <v>260</v>
      </c>
      <c r="C30" s="3">
        <v>2018.0</v>
      </c>
      <c r="D30" s="3" t="s">
        <v>246</v>
      </c>
      <c r="E30" s="36" t="s">
        <v>261</v>
      </c>
      <c r="F30" s="60"/>
      <c r="G30" s="60"/>
      <c r="H30" s="60"/>
      <c r="I30" s="60"/>
      <c r="J30" s="60"/>
      <c r="K30" s="58"/>
      <c r="L30" s="59" t="s">
        <v>11</v>
      </c>
      <c r="M30" s="58"/>
      <c r="N30" s="58"/>
      <c r="O30" s="58"/>
      <c r="P30" s="59"/>
      <c r="Q30" s="3" t="s">
        <v>185</v>
      </c>
    </row>
    <row r="31">
      <c r="A31" s="3">
        <v>5.0</v>
      </c>
      <c r="B31" s="3" t="s">
        <v>262</v>
      </c>
      <c r="C31" s="3">
        <v>2018.0</v>
      </c>
      <c r="D31" s="3" t="s">
        <v>246</v>
      </c>
      <c r="E31" s="36" t="s">
        <v>263</v>
      </c>
      <c r="F31" s="60"/>
      <c r="G31" s="60"/>
      <c r="H31" s="60"/>
      <c r="I31" s="60"/>
      <c r="J31" s="60"/>
      <c r="K31" s="58"/>
      <c r="L31" s="59" t="s">
        <v>11</v>
      </c>
      <c r="M31" s="58"/>
      <c r="N31" s="58"/>
      <c r="O31" s="58"/>
      <c r="P31" s="59"/>
      <c r="Q31" s="3" t="s">
        <v>185</v>
      </c>
    </row>
    <row r="32">
      <c r="A32" s="3">
        <v>5.0</v>
      </c>
      <c r="B32" s="3" t="s">
        <v>264</v>
      </c>
      <c r="C32" s="3">
        <v>2019.0</v>
      </c>
      <c r="D32" s="3" t="s">
        <v>265</v>
      </c>
      <c r="E32" s="35" t="s">
        <v>266</v>
      </c>
      <c r="F32" s="61" t="s">
        <v>11</v>
      </c>
      <c r="G32" s="60"/>
      <c r="H32" s="60"/>
      <c r="I32" s="60"/>
      <c r="J32" s="60"/>
      <c r="K32" s="58"/>
      <c r="L32" s="58"/>
      <c r="M32" s="58"/>
      <c r="N32" s="58"/>
      <c r="O32" s="58"/>
      <c r="P32" s="59"/>
      <c r="Q32" s="3" t="s">
        <v>185</v>
      </c>
      <c r="R32" s="3" t="s">
        <v>267</v>
      </c>
    </row>
    <row r="33">
      <c r="A33" s="3">
        <v>5.0</v>
      </c>
      <c r="B33" s="3" t="s">
        <v>268</v>
      </c>
      <c r="C33" s="3">
        <v>2020.0</v>
      </c>
      <c r="D33" s="3" t="s">
        <v>269</v>
      </c>
      <c r="E33" s="36" t="s">
        <v>270</v>
      </c>
      <c r="F33" s="61" t="s">
        <v>11</v>
      </c>
      <c r="G33" s="61" t="s">
        <v>11</v>
      </c>
      <c r="H33" s="60"/>
      <c r="I33" s="60"/>
      <c r="J33" s="60"/>
      <c r="K33" s="58"/>
      <c r="L33" s="58"/>
      <c r="M33" s="58"/>
      <c r="N33" s="58"/>
      <c r="O33" s="58"/>
      <c r="P33" s="58"/>
      <c r="Q33" s="3" t="s">
        <v>185</v>
      </c>
    </row>
    <row r="34">
      <c r="A34" s="3">
        <v>5.0</v>
      </c>
      <c r="B34" s="3" t="s">
        <v>271</v>
      </c>
      <c r="C34" s="3">
        <v>2020.0</v>
      </c>
      <c r="D34" s="3" t="s">
        <v>272</v>
      </c>
      <c r="E34" s="36" t="s">
        <v>273</v>
      </c>
      <c r="F34" s="61" t="s">
        <v>11</v>
      </c>
      <c r="G34" s="60"/>
      <c r="H34" s="60"/>
      <c r="I34" s="60"/>
      <c r="J34" s="60"/>
      <c r="K34" s="58"/>
      <c r="L34" s="58"/>
      <c r="M34" s="58"/>
      <c r="N34" s="58"/>
      <c r="O34" s="58"/>
      <c r="P34" s="58"/>
      <c r="Q34" s="3" t="s">
        <v>185</v>
      </c>
    </row>
    <row r="35">
      <c r="A35" s="3">
        <v>5.0</v>
      </c>
      <c r="B35" s="3" t="s">
        <v>274</v>
      </c>
      <c r="C35" s="3">
        <v>2023.0</v>
      </c>
      <c r="D35" s="3" t="s">
        <v>275</v>
      </c>
      <c r="E35" s="36" t="s">
        <v>276</v>
      </c>
      <c r="F35" s="60"/>
      <c r="G35" s="60"/>
      <c r="H35" s="60"/>
      <c r="I35" s="60"/>
      <c r="J35" s="63"/>
      <c r="K35" s="58"/>
      <c r="L35" s="58"/>
      <c r="M35" s="58"/>
      <c r="N35" s="58"/>
      <c r="O35" s="59"/>
      <c r="P35" s="59" t="s">
        <v>11</v>
      </c>
      <c r="Q35" s="3" t="s">
        <v>185</v>
      </c>
    </row>
    <row r="36">
      <c r="A36" s="3">
        <v>5.0</v>
      </c>
      <c r="B36" s="3" t="s">
        <v>277</v>
      </c>
      <c r="C36" s="3">
        <v>2023.0</v>
      </c>
      <c r="D36" s="3" t="s">
        <v>278</v>
      </c>
      <c r="E36" s="36" t="s">
        <v>279</v>
      </c>
      <c r="F36" s="61" t="s">
        <v>11</v>
      </c>
      <c r="G36" s="60"/>
      <c r="H36" s="60"/>
      <c r="I36" s="60"/>
      <c r="J36" s="63"/>
      <c r="K36" s="58"/>
      <c r="L36" s="58"/>
      <c r="M36" s="58"/>
      <c r="N36" s="58"/>
      <c r="O36" s="58"/>
      <c r="P36" s="59"/>
      <c r="Q36" s="3" t="s">
        <v>185</v>
      </c>
    </row>
    <row r="37">
      <c r="A37" s="3">
        <v>5.0</v>
      </c>
      <c r="B37" s="3" t="s">
        <v>280</v>
      </c>
      <c r="C37" s="3">
        <v>2017.0</v>
      </c>
      <c r="D37" s="3" t="s">
        <v>281</v>
      </c>
      <c r="E37" s="36" t="s">
        <v>282</v>
      </c>
      <c r="F37" s="60"/>
      <c r="G37" s="60"/>
      <c r="H37" s="60"/>
      <c r="I37" s="60"/>
      <c r="J37" s="60"/>
      <c r="K37" s="58"/>
      <c r="L37" s="59" t="s">
        <v>11</v>
      </c>
      <c r="M37" s="58"/>
      <c r="N37" s="58"/>
      <c r="O37" s="58"/>
      <c r="P37" s="59"/>
      <c r="Q37" s="3" t="s">
        <v>185</v>
      </c>
    </row>
    <row r="38">
      <c r="A38" s="3">
        <v>5.0</v>
      </c>
      <c r="B38" s="3" t="s">
        <v>283</v>
      </c>
      <c r="C38" s="3">
        <v>2022.0</v>
      </c>
      <c r="D38" s="3" t="s">
        <v>284</v>
      </c>
      <c r="E38" s="36" t="s">
        <v>285</v>
      </c>
      <c r="F38" s="60"/>
      <c r="G38" s="60"/>
      <c r="H38" s="60"/>
      <c r="I38" s="60"/>
      <c r="J38" s="60"/>
      <c r="K38" s="58"/>
      <c r="L38" s="58"/>
      <c r="M38" s="58"/>
      <c r="N38" s="58"/>
      <c r="O38" s="58"/>
      <c r="P38" s="59" t="s">
        <v>11</v>
      </c>
      <c r="Q38" s="3" t="s">
        <v>185</v>
      </c>
    </row>
    <row r="39">
      <c r="A39" s="3">
        <v>5.0</v>
      </c>
      <c r="B39" s="3" t="s">
        <v>286</v>
      </c>
      <c r="C39" s="3">
        <v>2018.0</v>
      </c>
      <c r="D39" s="3" t="s">
        <v>246</v>
      </c>
      <c r="E39" s="36" t="s">
        <v>287</v>
      </c>
      <c r="F39" s="60"/>
      <c r="G39" s="60"/>
      <c r="H39" s="60"/>
      <c r="I39" s="60"/>
      <c r="J39" s="60"/>
      <c r="K39" s="58"/>
      <c r="L39" s="59" t="s">
        <v>11</v>
      </c>
      <c r="M39" s="58"/>
      <c r="N39" s="58"/>
      <c r="O39" s="58"/>
      <c r="P39" s="59"/>
      <c r="Q39" s="3" t="s">
        <v>185</v>
      </c>
    </row>
    <row r="40">
      <c r="A40" s="3">
        <v>7.0</v>
      </c>
      <c r="B40" s="3" t="s">
        <v>288</v>
      </c>
      <c r="C40" s="3">
        <v>2022.0</v>
      </c>
      <c r="D40" s="3" t="s">
        <v>289</v>
      </c>
      <c r="E40" s="36" t="s">
        <v>290</v>
      </c>
      <c r="F40" s="61" t="s">
        <v>11</v>
      </c>
      <c r="G40" s="60"/>
      <c r="H40" s="61" t="s">
        <v>11</v>
      </c>
      <c r="I40" s="60"/>
      <c r="J40" s="60"/>
      <c r="K40" s="58"/>
      <c r="L40" s="58"/>
      <c r="M40" s="58"/>
      <c r="N40" s="58"/>
      <c r="O40" s="58"/>
      <c r="P40" s="58"/>
      <c r="Q40" s="3" t="s">
        <v>185</v>
      </c>
      <c r="R40" s="3" t="s">
        <v>291</v>
      </c>
    </row>
    <row r="41">
      <c r="A41" s="3">
        <v>7.0</v>
      </c>
      <c r="B41" s="3" t="s">
        <v>292</v>
      </c>
      <c r="C41" s="3">
        <v>2019.0</v>
      </c>
      <c r="D41" s="3" t="s">
        <v>293</v>
      </c>
      <c r="E41" s="36" t="s">
        <v>294</v>
      </c>
      <c r="F41" s="60"/>
      <c r="G41" s="60"/>
      <c r="H41" s="60"/>
      <c r="I41" s="60"/>
      <c r="J41" s="60"/>
      <c r="K41" s="58"/>
      <c r="L41" s="58"/>
      <c r="M41" s="58"/>
      <c r="N41" s="58"/>
      <c r="O41" s="58"/>
      <c r="P41" s="59" t="s">
        <v>11</v>
      </c>
      <c r="Q41" s="3" t="s">
        <v>185</v>
      </c>
    </row>
    <row r="42">
      <c r="A42" s="3">
        <v>7.0</v>
      </c>
      <c r="B42" s="3" t="s">
        <v>295</v>
      </c>
      <c r="C42" s="3">
        <v>2019.0</v>
      </c>
      <c r="D42" s="3" t="s">
        <v>296</v>
      </c>
      <c r="E42" s="36" t="s">
        <v>297</v>
      </c>
      <c r="F42" s="60"/>
      <c r="G42" s="60"/>
      <c r="H42" s="60"/>
      <c r="I42" s="60"/>
      <c r="J42" s="60"/>
      <c r="K42" s="58"/>
      <c r="L42" s="58"/>
      <c r="M42" s="58"/>
      <c r="N42" s="58"/>
      <c r="O42" s="58"/>
      <c r="P42" s="59" t="s">
        <v>11</v>
      </c>
      <c r="Q42" s="3" t="s">
        <v>185</v>
      </c>
    </row>
    <row r="43">
      <c r="A43" s="3">
        <v>7.0</v>
      </c>
      <c r="B43" s="3" t="s">
        <v>298</v>
      </c>
      <c r="C43" s="3">
        <v>2017.0</v>
      </c>
      <c r="D43" s="3" t="s">
        <v>293</v>
      </c>
      <c r="E43" s="36" t="s">
        <v>299</v>
      </c>
      <c r="F43" s="60"/>
      <c r="G43" s="60"/>
      <c r="H43" s="60"/>
      <c r="I43" s="60"/>
      <c r="J43" s="60"/>
      <c r="K43" s="58"/>
      <c r="L43" s="58"/>
      <c r="M43" s="58"/>
      <c r="N43" s="58"/>
      <c r="O43" s="58"/>
      <c r="P43" s="59" t="s">
        <v>11</v>
      </c>
      <c r="Q43" s="3" t="s">
        <v>185</v>
      </c>
    </row>
    <row r="44">
      <c r="A44" s="3">
        <v>7.0</v>
      </c>
      <c r="B44" s="3" t="s">
        <v>300</v>
      </c>
      <c r="C44" s="3">
        <v>2024.0</v>
      </c>
      <c r="D44" s="3" t="s">
        <v>301</v>
      </c>
      <c r="E44" s="36" t="s">
        <v>302</v>
      </c>
      <c r="F44" s="61" t="s">
        <v>11</v>
      </c>
      <c r="G44" s="60"/>
      <c r="H44" s="60"/>
      <c r="I44" s="60"/>
      <c r="J44" s="60"/>
      <c r="K44" s="58"/>
      <c r="L44" s="58"/>
      <c r="M44" s="58"/>
      <c r="N44" s="59"/>
      <c r="O44" s="58"/>
      <c r="P44" s="58"/>
      <c r="Q44" s="3" t="s">
        <v>185</v>
      </c>
      <c r="R44" s="3" t="s">
        <v>303</v>
      </c>
    </row>
    <row r="45">
      <c r="A45" s="3">
        <v>8.0</v>
      </c>
      <c r="B45" s="3" t="s">
        <v>304</v>
      </c>
      <c r="C45" s="3">
        <v>2019.0</v>
      </c>
      <c r="D45" s="3" t="s">
        <v>305</v>
      </c>
      <c r="E45" s="36" t="s">
        <v>306</v>
      </c>
      <c r="F45" s="60"/>
      <c r="G45" s="60"/>
      <c r="H45" s="60"/>
      <c r="I45" s="60"/>
      <c r="J45" s="60"/>
      <c r="K45" s="58"/>
      <c r="L45" s="58"/>
      <c r="M45" s="58"/>
      <c r="N45" s="59" t="s">
        <v>11</v>
      </c>
      <c r="O45" s="58"/>
      <c r="P45" s="58"/>
      <c r="Q45" s="3" t="s">
        <v>185</v>
      </c>
      <c r="R45" s="3" t="s">
        <v>307</v>
      </c>
    </row>
    <row r="46">
      <c r="A46" s="3">
        <v>8.0</v>
      </c>
      <c r="B46" s="3" t="s">
        <v>308</v>
      </c>
      <c r="C46" s="3">
        <v>2021.0</v>
      </c>
      <c r="D46" s="3" t="s">
        <v>309</v>
      </c>
      <c r="E46" s="35" t="s">
        <v>310</v>
      </c>
      <c r="F46" s="60"/>
      <c r="G46" s="60"/>
      <c r="H46" s="60"/>
      <c r="I46" s="60"/>
      <c r="J46" s="60"/>
      <c r="K46" s="59" t="s">
        <v>11</v>
      </c>
      <c r="L46" s="58"/>
      <c r="M46" s="58"/>
      <c r="N46" s="58"/>
      <c r="O46" s="58"/>
      <c r="P46" s="58"/>
      <c r="Q46" s="3" t="s">
        <v>185</v>
      </c>
    </row>
    <row r="47">
      <c r="A47" s="3">
        <v>8.0</v>
      </c>
      <c r="B47" s="3" t="s">
        <v>311</v>
      </c>
      <c r="C47" s="3">
        <v>2018.0</v>
      </c>
      <c r="D47" s="3" t="s">
        <v>312</v>
      </c>
      <c r="E47" s="35" t="s">
        <v>313</v>
      </c>
      <c r="F47" s="60"/>
      <c r="G47" s="60"/>
      <c r="H47" s="60"/>
      <c r="I47" s="60"/>
      <c r="J47" s="60"/>
      <c r="K47" s="58"/>
      <c r="L47" s="58"/>
      <c r="M47" s="58"/>
      <c r="N47" s="59" t="s">
        <v>11</v>
      </c>
      <c r="O47" s="58"/>
      <c r="P47" s="58"/>
      <c r="Q47" s="3" t="s">
        <v>185</v>
      </c>
    </row>
    <row r="48">
      <c r="A48" s="3">
        <v>8.0</v>
      </c>
      <c r="B48" s="3" t="s">
        <v>314</v>
      </c>
      <c r="C48" s="64">
        <v>2019.0</v>
      </c>
      <c r="D48" s="65" t="s">
        <v>315</v>
      </c>
      <c r="E48" s="66" t="s">
        <v>316</v>
      </c>
      <c r="F48" s="60"/>
      <c r="G48" s="60"/>
      <c r="H48" s="60"/>
      <c r="I48" s="60"/>
      <c r="J48" s="60"/>
      <c r="K48" s="58"/>
      <c r="L48" s="58"/>
      <c r="M48" s="58"/>
      <c r="N48" s="58"/>
      <c r="O48" s="59" t="s">
        <v>11</v>
      </c>
      <c r="P48" s="59"/>
      <c r="Q48" s="3" t="s">
        <v>185</v>
      </c>
    </row>
    <row r="49">
      <c r="A49" s="3">
        <v>8.0</v>
      </c>
      <c r="B49" s="3" t="s">
        <v>87</v>
      </c>
      <c r="C49" s="3">
        <v>2015.0</v>
      </c>
      <c r="D49" s="3" t="s">
        <v>88</v>
      </c>
      <c r="E49" s="36" t="s">
        <v>89</v>
      </c>
      <c r="F49" s="60"/>
      <c r="G49" s="60"/>
      <c r="H49" s="60"/>
      <c r="I49" s="60"/>
      <c r="J49" s="60"/>
      <c r="K49" s="58"/>
      <c r="L49" s="58"/>
      <c r="M49" s="58"/>
      <c r="N49" s="58"/>
      <c r="O49" s="58"/>
      <c r="P49" s="58"/>
      <c r="Q49" s="3" t="s">
        <v>210</v>
      </c>
      <c r="R49" s="3" t="s">
        <v>90</v>
      </c>
    </row>
    <row r="50">
      <c r="A50" s="3" t="s">
        <v>317</v>
      </c>
      <c r="B50" s="3" t="s">
        <v>318</v>
      </c>
      <c r="C50" s="3">
        <v>2022.0</v>
      </c>
      <c r="D50" s="3" t="s">
        <v>319</v>
      </c>
      <c r="E50" s="36" t="s">
        <v>320</v>
      </c>
      <c r="F50" s="60"/>
      <c r="G50" s="60"/>
      <c r="H50" s="61" t="s">
        <v>11</v>
      </c>
      <c r="I50" s="60"/>
      <c r="J50" s="60"/>
      <c r="K50" s="58"/>
      <c r="L50" s="58"/>
      <c r="M50" s="58"/>
      <c r="N50" s="58"/>
      <c r="O50" s="58"/>
      <c r="P50" s="58"/>
      <c r="Q50" s="3" t="s">
        <v>185</v>
      </c>
    </row>
    <row r="51">
      <c r="A51" s="3">
        <v>8.0</v>
      </c>
      <c r="B51" s="3" t="s">
        <v>321</v>
      </c>
      <c r="C51" s="3">
        <v>2020.0</v>
      </c>
      <c r="D51" s="3" t="s">
        <v>322</v>
      </c>
      <c r="E51" s="36" t="s">
        <v>323</v>
      </c>
      <c r="F51" s="60"/>
      <c r="G51" s="60"/>
      <c r="H51" s="61" t="s">
        <v>324</v>
      </c>
      <c r="I51" s="60"/>
      <c r="J51" s="60"/>
      <c r="K51" s="59" t="s">
        <v>11</v>
      </c>
      <c r="L51" s="58"/>
      <c r="M51" s="58"/>
      <c r="N51" s="58"/>
      <c r="O51" s="58"/>
      <c r="P51" s="58"/>
      <c r="Q51" s="3" t="s">
        <v>185</v>
      </c>
    </row>
    <row r="52">
      <c r="A52" s="3">
        <v>8.0</v>
      </c>
      <c r="B52" s="3" t="s">
        <v>325</v>
      </c>
      <c r="C52" s="3">
        <v>2015.0</v>
      </c>
      <c r="D52" s="3" t="s">
        <v>326</v>
      </c>
      <c r="E52" s="67" t="s">
        <v>327</v>
      </c>
      <c r="F52" s="60"/>
      <c r="G52" s="60"/>
      <c r="H52" s="60"/>
      <c r="I52" s="60"/>
      <c r="J52" s="60"/>
      <c r="K52" s="58"/>
      <c r="L52" s="58"/>
      <c r="M52" s="58"/>
      <c r="N52" s="58"/>
      <c r="O52" s="59" t="s">
        <v>11</v>
      </c>
      <c r="P52" s="59"/>
      <c r="Q52" s="3" t="s">
        <v>185</v>
      </c>
    </row>
    <row r="53">
      <c r="A53" s="3">
        <v>8.0</v>
      </c>
      <c r="B53" s="3" t="s">
        <v>328</v>
      </c>
      <c r="C53" s="3">
        <v>2019.0</v>
      </c>
      <c r="D53" s="3" t="s">
        <v>329</v>
      </c>
      <c r="E53" s="35" t="s">
        <v>330</v>
      </c>
      <c r="F53" s="60"/>
      <c r="G53" s="60"/>
      <c r="H53" s="61" t="s">
        <v>11</v>
      </c>
      <c r="I53" s="60"/>
      <c r="J53" s="60"/>
      <c r="K53" s="59" t="s">
        <v>11</v>
      </c>
      <c r="L53" s="58"/>
      <c r="M53" s="58"/>
      <c r="N53" s="58"/>
      <c r="O53" s="58"/>
      <c r="P53" s="58"/>
      <c r="Q53" s="3" t="s">
        <v>185</v>
      </c>
      <c r="R53" s="3" t="s">
        <v>331</v>
      </c>
    </row>
    <row r="54">
      <c r="A54" s="3">
        <v>8.0</v>
      </c>
      <c r="B54" s="3" t="s">
        <v>332</v>
      </c>
      <c r="C54" s="20">
        <v>2015.0</v>
      </c>
      <c r="D54" s="19" t="s">
        <v>55</v>
      </c>
      <c r="E54" s="68" t="s">
        <v>57</v>
      </c>
      <c r="F54" s="60"/>
      <c r="G54" s="60"/>
      <c r="H54" s="60"/>
      <c r="I54" s="60"/>
      <c r="J54" s="60"/>
      <c r="K54" s="58"/>
      <c r="L54" s="58"/>
      <c r="M54" s="58"/>
      <c r="N54" s="58"/>
      <c r="O54" s="59" t="s">
        <v>11</v>
      </c>
      <c r="P54" s="59"/>
      <c r="Q54" s="3" t="s">
        <v>210</v>
      </c>
      <c r="R54" s="3" t="s">
        <v>333</v>
      </c>
    </row>
    <row r="55">
      <c r="A55" s="3">
        <v>8.0</v>
      </c>
      <c r="B55" s="3" t="s">
        <v>334</v>
      </c>
      <c r="C55" s="3">
        <v>2019.0</v>
      </c>
      <c r="D55" s="3" t="s">
        <v>335</v>
      </c>
      <c r="E55" s="36" t="s">
        <v>336</v>
      </c>
      <c r="F55" s="60"/>
      <c r="G55" s="60"/>
      <c r="H55" s="60"/>
      <c r="I55" s="60"/>
      <c r="J55" s="60"/>
      <c r="K55" s="58"/>
      <c r="L55" s="58"/>
      <c r="M55" s="58"/>
      <c r="N55" s="58"/>
      <c r="O55" s="58"/>
      <c r="P55" s="59" t="s">
        <v>11</v>
      </c>
      <c r="Q55" s="3" t="s">
        <v>185</v>
      </c>
    </row>
    <row r="56">
      <c r="A56" s="3">
        <v>8.0</v>
      </c>
      <c r="B56" s="3" t="s">
        <v>337</v>
      </c>
      <c r="C56" s="3">
        <v>2016.0</v>
      </c>
      <c r="D56" s="3" t="s">
        <v>338</v>
      </c>
      <c r="E56" s="36" t="s">
        <v>339</v>
      </c>
      <c r="F56" s="60"/>
      <c r="G56" s="60"/>
      <c r="H56" s="61" t="s">
        <v>11</v>
      </c>
      <c r="I56" s="60"/>
      <c r="J56" s="60"/>
      <c r="K56" s="58"/>
      <c r="L56" s="58"/>
      <c r="M56" s="58"/>
      <c r="N56" s="58"/>
      <c r="O56" s="58"/>
      <c r="P56" s="58"/>
      <c r="Q56" s="3" t="s">
        <v>185</v>
      </c>
      <c r="R56" s="3" t="s">
        <v>241</v>
      </c>
    </row>
    <row r="57">
      <c r="A57" s="3">
        <v>8.0</v>
      </c>
      <c r="B57" s="3" t="s">
        <v>340</v>
      </c>
      <c r="C57" s="3">
        <v>2020.0</v>
      </c>
      <c r="D57" s="3" t="s">
        <v>341</v>
      </c>
      <c r="E57" s="36" t="s">
        <v>342</v>
      </c>
      <c r="F57" s="60"/>
      <c r="G57" s="60"/>
      <c r="H57" s="60"/>
      <c r="I57" s="60"/>
      <c r="J57" s="60"/>
      <c r="K57" s="58"/>
      <c r="L57" s="58"/>
      <c r="M57" s="58"/>
      <c r="N57" s="58"/>
      <c r="O57" s="58"/>
      <c r="P57" s="59" t="s">
        <v>11</v>
      </c>
      <c r="Q57" s="3" t="s">
        <v>185</v>
      </c>
    </row>
    <row r="58">
      <c r="A58" s="3">
        <v>8.0</v>
      </c>
      <c r="B58" s="3" t="s">
        <v>343</v>
      </c>
      <c r="C58" s="3">
        <v>2019.0</v>
      </c>
      <c r="D58" s="3" t="s">
        <v>344</v>
      </c>
      <c r="E58" s="36" t="s">
        <v>345</v>
      </c>
      <c r="F58" s="60"/>
      <c r="G58" s="60"/>
      <c r="H58" s="60"/>
      <c r="I58" s="60"/>
      <c r="J58" s="60"/>
      <c r="K58" s="58"/>
      <c r="L58" s="58"/>
      <c r="M58" s="58"/>
      <c r="N58" s="59" t="s">
        <v>11</v>
      </c>
      <c r="O58" s="58"/>
      <c r="P58" s="59"/>
      <c r="Q58" s="3" t="s">
        <v>185</v>
      </c>
    </row>
    <row r="59">
      <c r="A59" s="3" t="s">
        <v>346</v>
      </c>
      <c r="B59" s="3" t="s">
        <v>347</v>
      </c>
      <c r="C59" s="3">
        <v>2017.0</v>
      </c>
      <c r="D59" s="3" t="s">
        <v>348</v>
      </c>
      <c r="E59" s="36" t="s">
        <v>349</v>
      </c>
      <c r="F59" s="60"/>
      <c r="G59" s="60"/>
      <c r="H59" s="60"/>
      <c r="I59" s="60"/>
      <c r="J59" s="60"/>
      <c r="K59" s="58"/>
      <c r="L59" s="58"/>
      <c r="M59" s="58"/>
      <c r="N59" s="58"/>
      <c r="O59" s="58"/>
      <c r="P59" s="59" t="s">
        <v>11</v>
      </c>
      <c r="Q59" s="3" t="s">
        <v>185</v>
      </c>
    </row>
    <row r="60">
      <c r="A60" s="3" t="s">
        <v>149</v>
      </c>
      <c r="B60" s="3" t="s">
        <v>350</v>
      </c>
      <c r="C60" s="3">
        <v>2017.0</v>
      </c>
      <c r="D60" s="3" t="s">
        <v>351</v>
      </c>
      <c r="E60" s="36" t="s">
        <v>352</v>
      </c>
      <c r="F60" s="60"/>
      <c r="G60" s="60"/>
      <c r="H60" s="60"/>
      <c r="I60" s="60"/>
      <c r="J60" s="60"/>
      <c r="K60" s="58"/>
      <c r="L60" s="58"/>
      <c r="M60" s="58"/>
      <c r="N60" s="58"/>
      <c r="O60" s="58"/>
      <c r="P60" s="59" t="s">
        <v>11</v>
      </c>
      <c r="Q60" s="3" t="s">
        <v>185</v>
      </c>
    </row>
    <row r="61">
      <c r="A61" s="3">
        <v>8.0</v>
      </c>
      <c r="B61" s="3" t="s">
        <v>353</v>
      </c>
      <c r="C61" s="3">
        <v>2015.0</v>
      </c>
      <c r="D61" s="3" t="s">
        <v>354</v>
      </c>
      <c r="E61" s="35" t="s">
        <v>355</v>
      </c>
      <c r="F61" s="60"/>
      <c r="G61" s="60"/>
      <c r="H61" s="60"/>
      <c r="I61" s="61" t="s">
        <v>11</v>
      </c>
      <c r="J61" s="60"/>
      <c r="K61" s="58"/>
      <c r="L61" s="58"/>
      <c r="M61" s="58"/>
      <c r="N61" s="58"/>
      <c r="O61" s="58"/>
      <c r="P61" s="58"/>
      <c r="Q61" s="3" t="s">
        <v>185</v>
      </c>
      <c r="R61" s="3" t="s">
        <v>356</v>
      </c>
    </row>
    <row r="62">
      <c r="A62" s="3">
        <v>8.0</v>
      </c>
      <c r="B62" s="3" t="s">
        <v>357</v>
      </c>
      <c r="C62" s="3">
        <v>2013.0</v>
      </c>
      <c r="D62" s="3" t="s">
        <v>358</v>
      </c>
      <c r="E62" s="36" t="s">
        <v>359</v>
      </c>
      <c r="F62" s="60"/>
      <c r="G62" s="60"/>
      <c r="H62" s="60"/>
      <c r="I62" s="60"/>
      <c r="J62" s="60"/>
      <c r="K62" s="58"/>
      <c r="L62" s="59" t="s">
        <v>11</v>
      </c>
      <c r="M62" s="58"/>
      <c r="N62" s="58"/>
      <c r="O62" s="58"/>
      <c r="P62" s="59" t="s">
        <v>11</v>
      </c>
      <c r="Q62" s="3" t="s">
        <v>185</v>
      </c>
    </row>
    <row r="63">
      <c r="A63" s="3">
        <v>9.0</v>
      </c>
      <c r="B63" s="3" t="s">
        <v>360</v>
      </c>
      <c r="C63" s="3">
        <v>2022.0</v>
      </c>
      <c r="D63" s="3" t="s">
        <v>361</v>
      </c>
      <c r="E63" s="35" t="s">
        <v>362</v>
      </c>
      <c r="F63" s="61" t="s">
        <v>11</v>
      </c>
      <c r="G63" s="60"/>
      <c r="H63" s="60"/>
      <c r="I63" s="60"/>
      <c r="J63" s="60"/>
      <c r="K63" s="58"/>
      <c r="L63" s="58"/>
      <c r="M63" s="58"/>
      <c r="N63" s="58"/>
      <c r="O63" s="58"/>
      <c r="P63" s="58"/>
      <c r="Q63" s="3" t="s">
        <v>185</v>
      </c>
      <c r="R63" s="3" t="s">
        <v>363</v>
      </c>
    </row>
    <row r="64">
      <c r="A64" s="3">
        <v>9.0</v>
      </c>
      <c r="B64" s="3" t="s">
        <v>364</v>
      </c>
      <c r="C64" s="3">
        <v>2021.0</v>
      </c>
      <c r="D64" s="3" t="s">
        <v>365</v>
      </c>
      <c r="E64" s="35" t="s">
        <v>366</v>
      </c>
      <c r="F64" s="60"/>
      <c r="G64" s="60"/>
      <c r="H64" s="60"/>
      <c r="I64" s="60"/>
      <c r="J64" s="60"/>
      <c r="K64" s="58"/>
      <c r="L64" s="58"/>
      <c r="M64" s="58"/>
      <c r="N64" s="59" t="s">
        <v>11</v>
      </c>
      <c r="O64" s="58"/>
      <c r="P64" s="58"/>
      <c r="Q64" s="3" t="s">
        <v>185</v>
      </c>
    </row>
    <row r="65">
      <c r="A65" s="3">
        <v>9.0</v>
      </c>
      <c r="B65" s="3" t="s">
        <v>367</v>
      </c>
      <c r="C65" s="3">
        <v>2023.0</v>
      </c>
      <c r="D65" s="3" t="s">
        <v>368</v>
      </c>
      <c r="E65" s="36" t="s">
        <v>369</v>
      </c>
      <c r="F65" s="61" t="s">
        <v>11</v>
      </c>
      <c r="G65" s="61" t="s">
        <v>11</v>
      </c>
      <c r="H65" s="60"/>
      <c r="I65" s="60"/>
      <c r="J65" s="63"/>
      <c r="K65" s="58"/>
      <c r="L65" s="58"/>
      <c r="M65" s="58"/>
      <c r="N65" s="58"/>
      <c r="O65" s="58"/>
      <c r="P65" s="59"/>
      <c r="Q65" s="3" t="s">
        <v>185</v>
      </c>
      <c r="R65" s="3" t="s">
        <v>370</v>
      </c>
    </row>
    <row r="66">
      <c r="A66" s="3">
        <v>9.0</v>
      </c>
      <c r="B66" s="3" t="s">
        <v>371</v>
      </c>
      <c r="C66" s="3">
        <v>2022.0</v>
      </c>
      <c r="D66" s="3" t="s">
        <v>372</v>
      </c>
      <c r="E66" s="36" t="s">
        <v>373</v>
      </c>
      <c r="F66" s="61" t="s">
        <v>11</v>
      </c>
      <c r="G66" s="60"/>
      <c r="H66" s="60"/>
      <c r="I66" s="60"/>
      <c r="J66" s="60"/>
      <c r="K66" s="58"/>
      <c r="L66" s="58"/>
      <c r="M66" s="58"/>
      <c r="N66" s="58"/>
      <c r="O66" s="58"/>
      <c r="P66" s="58"/>
      <c r="Q66" s="3" t="s">
        <v>185</v>
      </c>
    </row>
    <row r="67">
      <c r="A67" s="3">
        <v>9.0</v>
      </c>
      <c r="B67" s="3" t="s">
        <v>374</v>
      </c>
      <c r="C67" s="3">
        <v>2023.0</v>
      </c>
      <c r="D67" s="3" t="s">
        <v>375</v>
      </c>
      <c r="E67" s="36" t="s">
        <v>376</v>
      </c>
      <c r="F67" s="61" t="s">
        <v>11</v>
      </c>
      <c r="G67" s="60"/>
      <c r="H67" s="60"/>
      <c r="I67" s="60"/>
      <c r="J67" s="63"/>
      <c r="K67" s="58"/>
      <c r="L67" s="58"/>
      <c r="M67" s="58"/>
      <c r="N67" s="58"/>
      <c r="O67" s="58"/>
      <c r="P67" s="59"/>
      <c r="Q67" s="3" t="s">
        <v>185</v>
      </c>
      <c r="R67" s="3" t="s">
        <v>377</v>
      </c>
    </row>
    <row r="68">
      <c r="A68" s="3">
        <v>9.0</v>
      </c>
      <c r="B68" s="3" t="s">
        <v>124</v>
      </c>
      <c r="C68" s="3">
        <v>2023.0</v>
      </c>
      <c r="D68" s="3" t="s">
        <v>125</v>
      </c>
      <c r="E68" s="36" t="s">
        <v>126</v>
      </c>
      <c r="F68" s="60"/>
      <c r="G68" s="60"/>
      <c r="H68" s="60"/>
      <c r="I68" s="60"/>
      <c r="J68" s="63"/>
      <c r="K68" s="58"/>
      <c r="L68" s="58"/>
      <c r="M68" s="58"/>
      <c r="N68" s="58"/>
      <c r="O68" s="58"/>
      <c r="P68" s="59"/>
      <c r="Q68" s="3" t="s">
        <v>210</v>
      </c>
    </row>
    <row r="69">
      <c r="A69" s="3">
        <v>9.0</v>
      </c>
      <c r="B69" s="3" t="s">
        <v>378</v>
      </c>
      <c r="C69" s="3">
        <v>2022.0</v>
      </c>
      <c r="D69" s="3" t="s">
        <v>379</v>
      </c>
      <c r="E69" s="35" t="s">
        <v>380</v>
      </c>
      <c r="F69" s="60"/>
      <c r="G69" s="60"/>
      <c r="H69" s="60"/>
      <c r="I69" s="60"/>
      <c r="J69" s="60"/>
      <c r="K69" s="58"/>
      <c r="L69" s="58"/>
      <c r="M69" s="58"/>
      <c r="N69" s="59" t="s">
        <v>11</v>
      </c>
      <c r="O69" s="58"/>
      <c r="P69" s="58"/>
      <c r="Q69" s="3" t="s">
        <v>185</v>
      </c>
    </row>
    <row r="70">
      <c r="A70" s="3">
        <v>9.0</v>
      </c>
      <c r="B70" s="3" t="s">
        <v>381</v>
      </c>
      <c r="C70" s="3">
        <v>2022.0</v>
      </c>
      <c r="D70" s="3" t="s">
        <v>382</v>
      </c>
      <c r="E70" s="36" t="s">
        <v>383</v>
      </c>
      <c r="F70" s="60"/>
      <c r="G70" s="60"/>
      <c r="H70" s="61" t="s">
        <v>11</v>
      </c>
      <c r="I70" s="60"/>
      <c r="J70" s="60"/>
      <c r="K70" s="58"/>
      <c r="L70" s="58"/>
      <c r="M70" s="58"/>
      <c r="N70" s="58"/>
      <c r="O70" s="58"/>
      <c r="P70" s="58"/>
      <c r="Q70" s="3" t="s">
        <v>185</v>
      </c>
      <c r="R70" s="3" t="s">
        <v>384</v>
      </c>
    </row>
    <row r="71">
      <c r="A71" s="3">
        <v>9.0</v>
      </c>
      <c r="B71" s="3" t="s">
        <v>385</v>
      </c>
      <c r="C71" s="3">
        <v>2021.0</v>
      </c>
      <c r="D71" s="3" t="s">
        <v>386</v>
      </c>
      <c r="E71" s="35" t="s">
        <v>387</v>
      </c>
      <c r="F71" s="60"/>
      <c r="G71" s="60"/>
      <c r="H71" s="60"/>
      <c r="I71" s="60"/>
      <c r="J71" s="60"/>
      <c r="K71" s="58"/>
      <c r="L71" s="58"/>
      <c r="M71" s="58"/>
      <c r="N71" s="58"/>
      <c r="O71" s="58"/>
      <c r="P71" s="59" t="s">
        <v>11</v>
      </c>
      <c r="Q71" s="3" t="s">
        <v>185</v>
      </c>
    </row>
    <row r="72">
      <c r="A72" s="3">
        <v>9.0</v>
      </c>
      <c r="B72" s="3" t="s">
        <v>388</v>
      </c>
      <c r="C72" s="3">
        <v>2021.0</v>
      </c>
      <c r="D72" s="3" t="s">
        <v>389</v>
      </c>
      <c r="E72" s="36" t="s">
        <v>390</v>
      </c>
      <c r="F72" s="60"/>
      <c r="G72" s="60"/>
      <c r="H72" s="60"/>
      <c r="I72" s="60"/>
      <c r="J72" s="60"/>
      <c r="K72" s="58"/>
      <c r="L72" s="58"/>
      <c r="M72" s="58"/>
      <c r="N72" s="58"/>
      <c r="O72" s="59" t="s">
        <v>11</v>
      </c>
      <c r="P72" s="59"/>
      <c r="Q72" s="3" t="s">
        <v>185</v>
      </c>
    </row>
    <row r="73">
      <c r="A73" s="3">
        <v>9.0</v>
      </c>
      <c r="B73" s="3" t="s">
        <v>391</v>
      </c>
      <c r="C73" s="3">
        <v>2023.0</v>
      </c>
      <c r="D73" s="69" t="s">
        <v>392</v>
      </c>
      <c r="E73" s="35" t="s">
        <v>393</v>
      </c>
      <c r="F73" s="61" t="s">
        <v>11</v>
      </c>
      <c r="G73" s="60"/>
      <c r="H73" s="60"/>
      <c r="I73" s="60"/>
      <c r="J73" s="60"/>
      <c r="K73" s="58"/>
      <c r="L73" s="58"/>
      <c r="M73" s="58"/>
      <c r="N73" s="58"/>
      <c r="O73" s="59"/>
      <c r="P73" s="59"/>
      <c r="Q73" s="3" t="s">
        <v>185</v>
      </c>
    </row>
    <row r="74">
      <c r="A74" s="3">
        <v>9.0</v>
      </c>
      <c r="B74" s="3" t="s">
        <v>394</v>
      </c>
      <c r="C74" s="3">
        <v>2023.0</v>
      </c>
      <c r="D74" s="3" t="s">
        <v>395</v>
      </c>
      <c r="E74" s="36" t="s">
        <v>396</v>
      </c>
      <c r="F74" s="61" t="s">
        <v>11</v>
      </c>
      <c r="G74" s="60"/>
      <c r="H74" s="60"/>
      <c r="I74" s="60"/>
      <c r="J74" s="60"/>
      <c r="K74" s="58"/>
      <c r="L74" s="58"/>
      <c r="M74" s="58"/>
      <c r="N74" s="58"/>
      <c r="O74" s="59"/>
      <c r="P74" s="59"/>
      <c r="Q74" s="3" t="s">
        <v>185</v>
      </c>
    </row>
    <row r="75">
      <c r="A75" s="3">
        <v>9.0</v>
      </c>
      <c r="B75" s="3" t="s">
        <v>397</v>
      </c>
      <c r="C75" s="3">
        <v>2024.0</v>
      </c>
      <c r="D75" s="3" t="s">
        <v>398</v>
      </c>
      <c r="E75" s="36" t="s">
        <v>399</v>
      </c>
      <c r="F75" s="60"/>
      <c r="G75" s="60"/>
      <c r="H75" s="60"/>
      <c r="I75" s="60"/>
      <c r="J75" s="60"/>
      <c r="K75" s="58"/>
      <c r="L75" s="58"/>
      <c r="M75" s="58"/>
      <c r="N75" s="59" t="s">
        <v>11</v>
      </c>
      <c r="O75" s="59"/>
      <c r="P75" s="59"/>
      <c r="Q75" s="3" t="s">
        <v>185</v>
      </c>
    </row>
    <row r="76">
      <c r="A76" s="3">
        <v>9.0</v>
      </c>
      <c r="B76" s="3" t="s">
        <v>400</v>
      </c>
      <c r="C76" s="3">
        <v>2024.0</v>
      </c>
      <c r="D76" s="3" t="s">
        <v>401</v>
      </c>
      <c r="E76" s="36" t="s">
        <v>402</v>
      </c>
      <c r="F76" s="60"/>
      <c r="G76" s="60"/>
      <c r="H76" s="60"/>
      <c r="I76" s="61" t="s">
        <v>11</v>
      </c>
      <c r="J76" s="60"/>
      <c r="K76" s="58"/>
      <c r="L76" s="58"/>
      <c r="M76" s="58"/>
      <c r="N76" s="58"/>
      <c r="O76" s="59"/>
      <c r="P76" s="59"/>
      <c r="Q76" s="3" t="s">
        <v>185</v>
      </c>
    </row>
    <row r="77">
      <c r="A77" s="3" t="s">
        <v>403</v>
      </c>
      <c r="B77" s="3" t="s">
        <v>404</v>
      </c>
      <c r="C77" s="3">
        <v>2023.0</v>
      </c>
      <c r="D77" s="3" t="s">
        <v>405</v>
      </c>
      <c r="E77" s="36" t="s">
        <v>406</v>
      </c>
      <c r="F77" s="60"/>
      <c r="G77" s="60"/>
      <c r="H77" s="60"/>
      <c r="I77" s="60"/>
      <c r="J77" s="60"/>
      <c r="K77" s="58"/>
      <c r="L77" s="58"/>
      <c r="M77" s="58"/>
      <c r="N77" s="59" t="s">
        <v>11</v>
      </c>
      <c r="O77" s="59"/>
      <c r="P77" s="59"/>
      <c r="Q77" s="3" t="s">
        <v>185</v>
      </c>
    </row>
    <row r="78">
      <c r="A78" s="3">
        <v>9.0</v>
      </c>
      <c r="B78" s="3" t="s">
        <v>407</v>
      </c>
      <c r="C78" s="3">
        <v>2023.0</v>
      </c>
      <c r="D78" s="3" t="s">
        <v>408</v>
      </c>
      <c r="E78" s="36" t="s">
        <v>409</v>
      </c>
      <c r="F78" s="60"/>
      <c r="G78" s="60"/>
      <c r="H78" s="60"/>
      <c r="I78" s="61" t="s">
        <v>11</v>
      </c>
      <c r="J78" s="60"/>
      <c r="K78" s="58"/>
      <c r="L78" s="58"/>
      <c r="M78" s="58"/>
      <c r="N78" s="58"/>
      <c r="O78" s="59"/>
      <c r="P78" s="59"/>
      <c r="Q78" s="3" t="s">
        <v>185</v>
      </c>
    </row>
    <row r="79">
      <c r="A79" s="3">
        <v>9.0</v>
      </c>
      <c r="B79" s="3" t="s">
        <v>410</v>
      </c>
      <c r="C79" s="3">
        <v>2024.0</v>
      </c>
      <c r="D79" s="3" t="s">
        <v>411</v>
      </c>
      <c r="E79" s="36" t="s">
        <v>412</v>
      </c>
      <c r="F79" s="61" t="s">
        <v>11</v>
      </c>
      <c r="G79" s="60"/>
      <c r="H79" s="60"/>
      <c r="I79" s="60"/>
      <c r="J79" s="60"/>
      <c r="K79" s="58"/>
      <c r="L79" s="58"/>
      <c r="M79" s="58"/>
      <c r="N79" s="58"/>
      <c r="O79" s="59"/>
      <c r="P79" s="59"/>
      <c r="Q79" s="3" t="s">
        <v>185</v>
      </c>
    </row>
    <row r="80">
      <c r="A80" s="3">
        <v>9.0</v>
      </c>
      <c r="B80" s="3" t="s">
        <v>413</v>
      </c>
      <c r="C80" s="3">
        <v>2022.0</v>
      </c>
      <c r="D80" s="3" t="s">
        <v>414</v>
      </c>
      <c r="E80" s="36" t="s">
        <v>415</v>
      </c>
      <c r="F80" s="61"/>
      <c r="G80" s="60"/>
      <c r="H80" s="60"/>
      <c r="I80" s="61" t="s">
        <v>11</v>
      </c>
      <c r="J80" s="60"/>
      <c r="K80" s="58"/>
      <c r="L80" s="58"/>
      <c r="M80" s="58"/>
      <c r="N80" s="58"/>
      <c r="O80" s="59"/>
      <c r="P80" s="59"/>
      <c r="Q80" s="3" t="s">
        <v>185</v>
      </c>
    </row>
    <row r="81">
      <c r="A81" s="3" t="s">
        <v>416</v>
      </c>
      <c r="B81" s="3" t="s">
        <v>417</v>
      </c>
      <c r="C81" s="3">
        <v>2024.0</v>
      </c>
      <c r="D81" s="3" t="s">
        <v>418</v>
      </c>
      <c r="E81" s="36" t="s">
        <v>419</v>
      </c>
      <c r="F81" s="61" t="s">
        <v>324</v>
      </c>
      <c r="G81" s="61" t="s">
        <v>11</v>
      </c>
      <c r="H81" s="60"/>
      <c r="I81" s="61"/>
      <c r="J81" s="60"/>
      <c r="K81" s="58"/>
      <c r="L81" s="58"/>
      <c r="M81" s="58"/>
      <c r="N81" s="58"/>
      <c r="O81" s="59"/>
      <c r="P81" s="59"/>
      <c r="Q81" s="3" t="s">
        <v>185</v>
      </c>
      <c r="R81" s="3" t="s">
        <v>420</v>
      </c>
    </row>
    <row r="82">
      <c r="A82" s="3" t="s">
        <v>416</v>
      </c>
      <c r="B82" s="3" t="s">
        <v>421</v>
      </c>
      <c r="C82" s="3">
        <v>2024.0</v>
      </c>
      <c r="D82" s="3" t="s">
        <v>418</v>
      </c>
      <c r="E82" s="36" t="s">
        <v>422</v>
      </c>
      <c r="F82" s="61"/>
      <c r="G82" s="60"/>
      <c r="H82" s="60"/>
      <c r="I82" s="61" t="s">
        <v>11</v>
      </c>
      <c r="J82" s="60"/>
      <c r="K82" s="58"/>
      <c r="L82" s="58"/>
      <c r="M82" s="58"/>
      <c r="N82" s="58"/>
      <c r="O82" s="59"/>
      <c r="P82" s="59"/>
      <c r="Q82" s="3" t="s">
        <v>185</v>
      </c>
      <c r="R82" s="3" t="s">
        <v>423</v>
      </c>
    </row>
    <row r="83">
      <c r="A83" s="3">
        <v>9.0</v>
      </c>
      <c r="B83" s="3" t="s">
        <v>424</v>
      </c>
      <c r="C83" s="3">
        <v>2023.0</v>
      </c>
      <c r="D83" s="3" t="s">
        <v>425</v>
      </c>
      <c r="E83" s="36" t="s">
        <v>426</v>
      </c>
      <c r="F83" s="61"/>
      <c r="G83" s="60"/>
      <c r="H83" s="60"/>
      <c r="I83" s="61"/>
      <c r="J83" s="60"/>
      <c r="K83" s="58"/>
      <c r="L83" s="58"/>
      <c r="M83" s="58"/>
      <c r="N83" s="58"/>
      <c r="O83" s="59"/>
      <c r="P83" s="59" t="s">
        <v>11</v>
      </c>
      <c r="Q83" s="3" t="s">
        <v>185</v>
      </c>
    </row>
    <row r="84">
      <c r="A84" s="3">
        <v>9.0</v>
      </c>
      <c r="B84" s="3" t="s">
        <v>427</v>
      </c>
      <c r="C84" s="3">
        <v>2021.0</v>
      </c>
      <c r="D84" s="3" t="s">
        <v>428</v>
      </c>
      <c r="E84" s="36" t="s">
        <v>429</v>
      </c>
      <c r="F84" s="61"/>
      <c r="G84" s="60"/>
      <c r="H84" s="60"/>
      <c r="I84" s="61"/>
      <c r="J84" s="60"/>
      <c r="K84" s="58"/>
      <c r="L84" s="58"/>
      <c r="M84" s="58"/>
      <c r="N84" s="58"/>
      <c r="O84" s="59"/>
      <c r="P84" s="59" t="s">
        <v>11</v>
      </c>
      <c r="Q84" s="3" t="s">
        <v>185</v>
      </c>
    </row>
    <row r="85">
      <c r="A85" s="3">
        <v>10.0</v>
      </c>
      <c r="B85" s="70" t="s">
        <v>430</v>
      </c>
      <c r="C85" s="3">
        <v>2018.0</v>
      </c>
      <c r="D85" s="71" t="s">
        <v>431</v>
      </c>
      <c r="E85" s="72" t="s">
        <v>432</v>
      </c>
      <c r="F85" s="61" t="s">
        <v>11</v>
      </c>
      <c r="G85" s="60"/>
      <c r="H85" s="60"/>
      <c r="I85" s="60"/>
      <c r="J85" s="60"/>
      <c r="K85" s="58"/>
      <c r="L85" s="58"/>
      <c r="M85" s="58"/>
      <c r="N85" s="58"/>
      <c r="O85" s="58"/>
      <c r="P85" s="58"/>
      <c r="Q85" s="3" t="s">
        <v>185</v>
      </c>
      <c r="R85" s="3" t="s">
        <v>433</v>
      </c>
    </row>
    <row r="86">
      <c r="A86" s="3">
        <v>10.0</v>
      </c>
      <c r="B86" s="3" t="s">
        <v>434</v>
      </c>
      <c r="C86" s="3">
        <v>2019.0</v>
      </c>
      <c r="D86" s="3" t="s">
        <v>435</v>
      </c>
      <c r="E86" s="35" t="s">
        <v>436</v>
      </c>
      <c r="F86" s="60"/>
      <c r="G86" s="60"/>
      <c r="H86" s="61" t="s">
        <v>11</v>
      </c>
      <c r="I86" s="60"/>
      <c r="J86" s="60"/>
      <c r="K86" s="58"/>
      <c r="L86" s="58"/>
      <c r="M86" s="58"/>
      <c r="N86" s="58"/>
      <c r="O86" s="58"/>
      <c r="P86" s="58"/>
      <c r="Q86" s="3" t="s">
        <v>185</v>
      </c>
    </row>
    <row r="87">
      <c r="A87" s="3">
        <v>10.0</v>
      </c>
      <c r="B87" s="3" t="s">
        <v>437</v>
      </c>
      <c r="C87" s="3">
        <v>2019.0</v>
      </c>
      <c r="D87" s="3" t="s">
        <v>438</v>
      </c>
      <c r="E87" s="36" t="s">
        <v>439</v>
      </c>
      <c r="F87" s="61" t="s">
        <v>11</v>
      </c>
      <c r="G87" s="60"/>
      <c r="H87" s="60"/>
      <c r="I87" s="60"/>
      <c r="J87" s="60"/>
      <c r="K87" s="58"/>
      <c r="L87" s="58"/>
      <c r="M87" s="58"/>
      <c r="N87" s="58"/>
      <c r="O87" s="58"/>
      <c r="P87" s="58"/>
      <c r="Q87" s="3" t="s">
        <v>185</v>
      </c>
    </row>
    <row r="88">
      <c r="A88" s="3">
        <v>10.0</v>
      </c>
      <c r="B88" s="3" t="s">
        <v>440</v>
      </c>
      <c r="C88" s="3">
        <v>2021.0</v>
      </c>
      <c r="D88" s="3" t="s">
        <v>441</v>
      </c>
      <c r="E88" s="36" t="s">
        <v>442</v>
      </c>
      <c r="F88" s="61" t="s">
        <v>11</v>
      </c>
      <c r="G88" s="60"/>
      <c r="H88" s="60"/>
      <c r="I88" s="60"/>
      <c r="J88" s="60"/>
      <c r="K88" s="58"/>
      <c r="L88" s="58"/>
      <c r="M88" s="58"/>
      <c r="N88" s="58"/>
      <c r="O88" s="58"/>
      <c r="P88" s="58"/>
      <c r="Q88" s="3" t="s">
        <v>185</v>
      </c>
    </row>
    <row r="89" ht="18.0" customHeight="1">
      <c r="A89" s="3">
        <v>10.0</v>
      </c>
      <c r="B89" s="3" t="s">
        <v>443</v>
      </c>
      <c r="C89" s="3">
        <v>2018.0</v>
      </c>
      <c r="D89" s="3" t="s">
        <v>444</v>
      </c>
      <c r="E89" s="36" t="s">
        <v>445</v>
      </c>
      <c r="F89" s="60"/>
      <c r="G89" s="60"/>
      <c r="H89" s="61" t="s">
        <v>11</v>
      </c>
      <c r="I89" s="60"/>
      <c r="J89" s="60"/>
      <c r="K89" s="58"/>
      <c r="L89" s="58"/>
      <c r="M89" s="58"/>
      <c r="N89" s="58"/>
      <c r="O89" s="58"/>
      <c r="P89" s="58"/>
      <c r="Q89" s="3" t="s">
        <v>185</v>
      </c>
      <c r="R89" s="3" t="s">
        <v>446</v>
      </c>
    </row>
    <row r="90">
      <c r="A90" s="3">
        <v>10.0</v>
      </c>
      <c r="B90" s="3" t="s">
        <v>447</v>
      </c>
      <c r="C90" s="3">
        <v>2020.0</v>
      </c>
      <c r="D90" s="3" t="s">
        <v>448</v>
      </c>
      <c r="E90" s="36" t="s">
        <v>449</v>
      </c>
      <c r="F90" s="61" t="s">
        <v>11</v>
      </c>
      <c r="G90" s="60"/>
      <c r="H90" s="60"/>
      <c r="I90" s="60"/>
      <c r="J90" s="60"/>
      <c r="K90" s="58"/>
      <c r="L90" s="58"/>
      <c r="M90" s="58"/>
      <c r="N90" s="58"/>
      <c r="O90" s="58"/>
      <c r="P90" s="58"/>
      <c r="Q90" s="3" t="s">
        <v>185</v>
      </c>
    </row>
    <row r="91">
      <c r="A91" s="3">
        <v>10.0</v>
      </c>
      <c r="B91" s="3" t="s">
        <v>450</v>
      </c>
      <c r="C91" s="3">
        <v>2018.0</v>
      </c>
      <c r="D91" s="3" t="s">
        <v>451</v>
      </c>
      <c r="E91" s="35" t="s">
        <v>452</v>
      </c>
      <c r="F91" s="60"/>
      <c r="G91" s="61" t="s">
        <v>11</v>
      </c>
      <c r="H91" s="60"/>
      <c r="I91" s="60"/>
      <c r="J91" s="60"/>
      <c r="K91" s="58"/>
      <c r="L91" s="58"/>
      <c r="M91" s="58"/>
      <c r="N91" s="58"/>
      <c r="O91" s="58"/>
      <c r="P91" s="58"/>
      <c r="Q91" s="3" t="s">
        <v>185</v>
      </c>
      <c r="R91" s="3" t="s">
        <v>453</v>
      </c>
    </row>
    <row r="92">
      <c r="A92" s="3">
        <v>10.0</v>
      </c>
      <c r="B92" s="3" t="s">
        <v>454</v>
      </c>
      <c r="C92" s="3">
        <v>2023.0</v>
      </c>
      <c r="D92" s="3" t="s">
        <v>455</v>
      </c>
      <c r="E92" s="36" t="s">
        <v>456</v>
      </c>
      <c r="F92" s="60"/>
      <c r="G92" s="60"/>
      <c r="H92" s="61" t="s">
        <v>11</v>
      </c>
      <c r="I92" s="60"/>
      <c r="J92" s="63"/>
      <c r="K92" s="58"/>
      <c r="L92" s="58"/>
      <c r="M92" s="58"/>
      <c r="N92" s="58"/>
      <c r="O92" s="58"/>
      <c r="P92" s="59"/>
      <c r="Q92" s="3" t="s">
        <v>185</v>
      </c>
    </row>
    <row r="93">
      <c r="A93" s="3">
        <v>10.0</v>
      </c>
      <c r="B93" s="3" t="s">
        <v>457</v>
      </c>
      <c r="C93" s="3">
        <v>2023.0</v>
      </c>
      <c r="D93" s="3" t="s">
        <v>458</v>
      </c>
      <c r="E93" s="36" t="s">
        <v>459</v>
      </c>
      <c r="F93" s="60"/>
      <c r="G93" s="60"/>
      <c r="H93" s="61" t="s">
        <v>11</v>
      </c>
      <c r="I93" s="60"/>
      <c r="J93" s="63"/>
      <c r="K93" s="58"/>
      <c r="L93" s="58"/>
      <c r="M93" s="58"/>
      <c r="N93" s="58"/>
      <c r="O93" s="58"/>
      <c r="P93" s="59"/>
      <c r="Q93" s="3" t="s">
        <v>185</v>
      </c>
    </row>
    <row r="94">
      <c r="A94" s="3">
        <v>10.0</v>
      </c>
      <c r="B94" s="3" t="s">
        <v>460</v>
      </c>
      <c r="C94" s="3">
        <v>2021.0</v>
      </c>
      <c r="D94" s="3" t="s">
        <v>461</v>
      </c>
      <c r="E94" s="36" t="s">
        <v>462</v>
      </c>
      <c r="F94" s="61" t="s">
        <v>11</v>
      </c>
      <c r="G94" s="60"/>
      <c r="H94" s="60"/>
      <c r="I94" s="60"/>
      <c r="J94" s="60"/>
      <c r="K94" s="58"/>
      <c r="L94" s="58"/>
      <c r="M94" s="58"/>
      <c r="N94" s="58"/>
      <c r="O94" s="58"/>
      <c r="P94" s="58"/>
      <c r="Q94" s="3" t="s">
        <v>185</v>
      </c>
    </row>
    <row r="95">
      <c r="A95" s="3">
        <v>10.0</v>
      </c>
      <c r="B95" s="3" t="s">
        <v>463</v>
      </c>
      <c r="C95" s="3">
        <v>2021.0</v>
      </c>
      <c r="D95" s="3" t="s">
        <v>464</v>
      </c>
      <c r="E95" s="36" t="s">
        <v>465</v>
      </c>
      <c r="F95" s="61" t="s">
        <v>11</v>
      </c>
      <c r="G95" s="60"/>
      <c r="H95" s="60"/>
      <c r="I95" s="60"/>
      <c r="J95" s="60"/>
      <c r="K95" s="58"/>
      <c r="L95" s="58"/>
      <c r="M95" s="58"/>
      <c r="N95" s="58"/>
      <c r="O95" s="58"/>
      <c r="P95" s="58"/>
      <c r="Q95" s="3" t="s">
        <v>185</v>
      </c>
    </row>
    <row r="96">
      <c r="A96" s="73">
        <v>45270.0</v>
      </c>
      <c r="B96" s="3" t="s">
        <v>466</v>
      </c>
      <c r="C96" s="3">
        <v>2020.0</v>
      </c>
      <c r="D96" s="3" t="s">
        <v>467</v>
      </c>
      <c r="E96" s="35" t="s">
        <v>468</v>
      </c>
      <c r="F96" s="60"/>
      <c r="G96" s="61" t="s">
        <v>324</v>
      </c>
      <c r="H96" s="60"/>
      <c r="I96" s="60"/>
      <c r="J96" s="60"/>
      <c r="K96" s="59" t="s">
        <v>11</v>
      </c>
      <c r="L96" s="58"/>
      <c r="M96" s="58"/>
      <c r="N96" s="58"/>
      <c r="O96" s="58"/>
      <c r="P96" s="58"/>
      <c r="Q96" s="3" t="s">
        <v>185</v>
      </c>
      <c r="R96" s="3" t="s">
        <v>469</v>
      </c>
    </row>
    <row r="97">
      <c r="A97" s="3">
        <v>10.0</v>
      </c>
      <c r="B97" s="3" t="s">
        <v>470</v>
      </c>
      <c r="C97" s="3">
        <v>2021.0</v>
      </c>
      <c r="D97" s="3" t="s">
        <v>471</v>
      </c>
      <c r="E97" s="36" t="s">
        <v>472</v>
      </c>
      <c r="F97" s="60"/>
      <c r="G97" s="60"/>
      <c r="H97" s="61" t="s">
        <v>11</v>
      </c>
      <c r="I97" s="60"/>
      <c r="J97" s="60"/>
      <c r="K97" s="58"/>
      <c r="L97" s="58"/>
      <c r="M97" s="58"/>
      <c r="N97" s="58"/>
      <c r="O97" s="58"/>
      <c r="P97" s="58"/>
      <c r="Q97" s="3" t="s">
        <v>185</v>
      </c>
    </row>
    <row r="98">
      <c r="A98" s="3">
        <v>10.0</v>
      </c>
      <c r="B98" s="3" t="s">
        <v>473</v>
      </c>
      <c r="C98" s="3">
        <v>2019.0</v>
      </c>
      <c r="D98" s="3" t="s">
        <v>474</v>
      </c>
      <c r="E98" s="35" t="s">
        <v>475</v>
      </c>
      <c r="F98" s="60"/>
      <c r="G98" s="60"/>
      <c r="H98" s="61" t="s">
        <v>11</v>
      </c>
      <c r="I98" s="60"/>
      <c r="J98" s="60"/>
      <c r="K98" s="58"/>
      <c r="L98" s="58"/>
      <c r="M98" s="58"/>
      <c r="N98" s="58"/>
      <c r="O98" s="58"/>
      <c r="P98" s="58"/>
      <c r="Q98" s="3" t="s">
        <v>185</v>
      </c>
    </row>
    <row r="99">
      <c r="A99" s="3">
        <v>10.0</v>
      </c>
      <c r="B99" s="3" t="s">
        <v>476</v>
      </c>
      <c r="D99" s="3" t="s">
        <v>477</v>
      </c>
      <c r="E99" s="36" t="s">
        <v>478</v>
      </c>
      <c r="F99" s="60"/>
      <c r="G99" s="60"/>
      <c r="H99" s="60"/>
      <c r="I99" s="60"/>
      <c r="J99" s="60"/>
      <c r="K99" s="58"/>
      <c r="L99" s="58"/>
      <c r="M99" s="58"/>
      <c r="N99" s="58"/>
      <c r="O99" s="58"/>
      <c r="P99" s="59" t="s">
        <v>11</v>
      </c>
      <c r="Q99" s="3" t="s">
        <v>185</v>
      </c>
    </row>
    <row r="100">
      <c r="A100" s="3">
        <v>10.0</v>
      </c>
      <c r="B100" s="3" t="s">
        <v>479</v>
      </c>
      <c r="C100" s="3">
        <v>2024.0</v>
      </c>
      <c r="D100" s="37" t="s">
        <v>480</v>
      </c>
      <c r="E100" s="35" t="s">
        <v>481</v>
      </c>
      <c r="F100" s="60"/>
      <c r="G100" s="61" t="s">
        <v>11</v>
      </c>
      <c r="H100" s="61" t="s">
        <v>11</v>
      </c>
      <c r="I100" s="60"/>
      <c r="J100" s="60"/>
      <c r="K100" s="58"/>
      <c r="L100" s="58"/>
      <c r="M100" s="58"/>
      <c r="N100" s="58"/>
      <c r="O100" s="58"/>
      <c r="P100" s="58"/>
      <c r="Q100" s="3" t="s">
        <v>185</v>
      </c>
    </row>
    <row r="101">
      <c r="A101" s="3">
        <v>10.0</v>
      </c>
      <c r="B101" s="3" t="s">
        <v>482</v>
      </c>
      <c r="C101" s="3">
        <v>2024.0</v>
      </c>
      <c r="D101" s="37" t="s">
        <v>483</v>
      </c>
      <c r="E101" s="35" t="s">
        <v>484</v>
      </c>
      <c r="F101" s="60"/>
      <c r="G101" s="61"/>
      <c r="H101" s="60"/>
      <c r="I101" s="60"/>
      <c r="J101" s="60"/>
      <c r="K101" s="58"/>
      <c r="L101" s="58"/>
      <c r="M101" s="58"/>
      <c r="N101" s="58"/>
      <c r="O101" s="58"/>
      <c r="P101" s="59" t="s">
        <v>11</v>
      </c>
      <c r="Q101" s="3" t="s">
        <v>185</v>
      </c>
    </row>
    <row r="102">
      <c r="A102" s="3">
        <v>11.0</v>
      </c>
      <c r="B102" s="3" t="s">
        <v>485</v>
      </c>
      <c r="C102" s="3">
        <v>2015.0</v>
      </c>
      <c r="D102" s="37" t="s">
        <v>486</v>
      </c>
      <c r="E102" s="35" t="s">
        <v>487</v>
      </c>
      <c r="F102" s="60"/>
      <c r="G102" s="61" t="s">
        <v>11</v>
      </c>
      <c r="H102" s="60"/>
      <c r="I102" s="60"/>
      <c r="J102" s="60"/>
      <c r="K102" s="58"/>
      <c r="L102" s="58"/>
      <c r="M102" s="58"/>
      <c r="N102" s="58"/>
      <c r="O102" s="58"/>
      <c r="P102" s="58"/>
      <c r="Q102" s="3" t="s">
        <v>185</v>
      </c>
    </row>
    <row r="103">
      <c r="A103" s="3">
        <v>11.0</v>
      </c>
      <c r="B103" s="3" t="s">
        <v>488</v>
      </c>
      <c r="C103" s="3">
        <v>2019.0</v>
      </c>
      <c r="D103" s="3" t="s">
        <v>489</v>
      </c>
      <c r="E103" s="36" t="s">
        <v>490</v>
      </c>
      <c r="F103" s="60"/>
      <c r="G103" s="60"/>
      <c r="H103" s="60"/>
      <c r="I103" s="60"/>
      <c r="J103" s="60"/>
      <c r="K103" s="59" t="s">
        <v>11</v>
      </c>
      <c r="L103" s="58"/>
      <c r="M103" s="58"/>
      <c r="N103" s="58"/>
      <c r="O103" s="58"/>
      <c r="P103" s="58"/>
      <c r="Q103" s="3" t="s">
        <v>185</v>
      </c>
      <c r="R103" s="3" t="s">
        <v>491</v>
      </c>
    </row>
    <row r="104">
      <c r="A104" s="3">
        <v>11.0</v>
      </c>
      <c r="B104" s="3" t="s">
        <v>492</v>
      </c>
      <c r="C104" s="3">
        <v>2022.0</v>
      </c>
      <c r="D104" s="3" t="s">
        <v>493</v>
      </c>
      <c r="E104" s="36" t="s">
        <v>494</v>
      </c>
      <c r="F104" s="60"/>
      <c r="G104" s="60"/>
      <c r="H104" s="60"/>
      <c r="I104" s="60"/>
      <c r="J104" s="60"/>
      <c r="K104" s="58"/>
      <c r="L104" s="58"/>
      <c r="M104" s="58"/>
      <c r="N104" s="59" t="s">
        <v>11</v>
      </c>
      <c r="O104" s="58"/>
      <c r="P104" s="58"/>
      <c r="Q104" s="3" t="s">
        <v>185</v>
      </c>
    </row>
    <row r="105">
      <c r="A105" s="3">
        <v>11.0</v>
      </c>
      <c r="B105" s="3" t="s">
        <v>495</v>
      </c>
      <c r="C105" s="3">
        <v>2019.0</v>
      </c>
      <c r="D105" s="3" t="s">
        <v>496</v>
      </c>
      <c r="E105" s="35" t="s">
        <v>497</v>
      </c>
      <c r="F105" s="60"/>
      <c r="G105" s="60"/>
      <c r="H105" s="60"/>
      <c r="I105" s="60"/>
      <c r="J105" s="60"/>
      <c r="K105" s="58"/>
      <c r="L105" s="58"/>
      <c r="M105" s="58"/>
      <c r="N105" s="59" t="s">
        <v>11</v>
      </c>
      <c r="O105" s="58"/>
      <c r="P105" s="58"/>
      <c r="Q105" s="3" t="s">
        <v>185</v>
      </c>
    </row>
    <row r="106">
      <c r="A106" s="3">
        <v>11.0</v>
      </c>
      <c r="B106" s="3" t="s">
        <v>498</v>
      </c>
      <c r="C106" s="3">
        <v>2016.0</v>
      </c>
      <c r="D106" s="3" t="s">
        <v>499</v>
      </c>
      <c r="E106" s="36" t="s">
        <v>500</v>
      </c>
      <c r="F106" s="60"/>
      <c r="G106" s="60"/>
      <c r="H106" s="60"/>
      <c r="I106" s="60"/>
      <c r="J106" s="60"/>
      <c r="K106" s="59" t="s">
        <v>11</v>
      </c>
      <c r="L106" s="58"/>
      <c r="M106" s="58"/>
      <c r="N106" s="58"/>
      <c r="O106" s="58"/>
      <c r="P106" s="58"/>
      <c r="Q106" s="3" t="s">
        <v>185</v>
      </c>
      <c r="R106" s="3" t="s">
        <v>501</v>
      </c>
    </row>
    <row r="107">
      <c r="A107" s="3">
        <v>11.0</v>
      </c>
      <c r="B107" s="3" t="s">
        <v>91</v>
      </c>
      <c r="C107" s="3">
        <v>2021.0</v>
      </c>
      <c r="D107" s="3" t="s">
        <v>92</v>
      </c>
      <c r="E107" s="36" t="s">
        <v>93</v>
      </c>
      <c r="F107" s="60"/>
      <c r="G107" s="60"/>
      <c r="H107" s="60"/>
      <c r="I107" s="60"/>
      <c r="J107" s="60"/>
      <c r="K107" s="58"/>
      <c r="L107" s="58"/>
      <c r="M107" s="58"/>
      <c r="N107" s="58"/>
      <c r="O107" s="58"/>
      <c r="P107" s="58"/>
      <c r="Q107" s="3" t="s">
        <v>210</v>
      </c>
      <c r="R107" s="3" t="s">
        <v>94</v>
      </c>
    </row>
    <row r="108">
      <c r="A108" s="3">
        <v>11.0</v>
      </c>
      <c r="B108" s="3" t="s">
        <v>502</v>
      </c>
      <c r="C108" s="3">
        <v>2017.0</v>
      </c>
      <c r="D108" s="3" t="s">
        <v>503</v>
      </c>
      <c r="E108" s="36" t="s">
        <v>504</v>
      </c>
      <c r="F108" s="61" t="s">
        <v>11</v>
      </c>
      <c r="G108" s="61" t="s">
        <v>11</v>
      </c>
      <c r="H108" s="60"/>
      <c r="I108" s="60"/>
      <c r="J108" s="60"/>
      <c r="K108" s="58"/>
      <c r="L108" s="58"/>
      <c r="M108" s="58"/>
      <c r="N108" s="58"/>
      <c r="O108" s="58"/>
      <c r="P108" s="58"/>
      <c r="Q108" s="3" t="s">
        <v>185</v>
      </c>
    </row>
    <row r="109">
      <c r="A109" s="3">
        <v>11.0</v>
      </c>
      <c r="B109" s="3" t="s">
        <v>505</v>
      </c>
      <c r="C109" s="3">
        <v>2016.0</v>
      </c>
      <c r="D109" s="3" t="s">
        <v>506</v>
      </c>
      <c r="E109" s="36" t="s">
        <v>507</v>
      </c>
      <c r="F109" s="61" t="s">
        <v>11</v>
      </c>
      <c r="G109" s="60"/>
      <c r="H109" s="60"/>
      <c r="I109" s="60"/>
      <c r="J109" s="60"/>
      <c r="K109" s="58"/>
      <c r="L109" s="58"/>
      <c r="M109" s="58"/>
      <c r="N109" s="58"/>
      <c r="O109" s="58"/>
      <c r="P109" s="58"/>
      <c r="Q109" s="3" t="s">
        <v>185</v>
      </c>
    </row>
    <row r="110">
      <c r="A110" s="3">
        <v>11.0</v>
      </c>
      <c r="B110" s="3" t="s">
        <v>508</v>
      </c>
      <c r="C110" s="3">
        <v>2016.0</v>
      </c>
      <c r="D110" s="3" t="s">
        <v>509</v>
      </c>
      <c r="E110" s="35" t="s">
        <v>510</v>
      </c>
      <c r="F110" s="61" t="s">
        <v>11</v>
      </c>
      <c r="G110" s="60"/>
      <c r="H110" s="60"/>
      <c r="I110" s="60"/>
      <c r="J110" s="60"/>
      <c r="K110" s="58"/>
      <c r="L110" s="58"/>
      <c r="M110" s="58"/>
      <c r="N110" s="58"/>
      <c r="O110" s="58"/>
      <c r="P110" s="58"/>
      <c r="Q110" s="3" t="s">
        <v>185</v>
      </c>
    </row>
    <row r="111">
      <c r="A111" s="3">
        <v>11.0</v>
      </c>
      <c r="B111" s="3" t="s">
        <v>511</v>
      </c>
      <c r="C111" s="3">
        <v>2019.0</v>
      </c>
      <c r="D111" s="3" t="s">
        <v>512</v>
      </c>
      <c r="E111" s="36" t="s">
        <v>513</v>
      </c>
      <c r="F111" s="61" t="s">
        <v>11</v>
      </c>
      <c r="G111" s="60"/>
      <c r="H111" s="60"/>
      <c r="I111" s="60"/>
      <c r="J111" s="60"/>
      <c r="K111" s="58"/>
      <c r="L111" s="58"/>
      <c r="M111" s="58"/>
      <c r="N111" s="58"/>
      <c r="O111" s="58"/>
      <c r="P111" s="58"/>
      <c r="Q111" s="3" t="s">
        <v>185</v>
      </c>
      <c r="R111" s="3" t="s">
        <v>514</v>
      </c>
    </row>
    <row r="112">
      <c r="A112" s="3">
        <v>11.0</v>
      </c>
      <c r="B112" s="3" t="s">
        <v>95</v>
      </c>
      <c r="C112" s="3">
        <v>2017.0</v>
      </c>
      <c r="D112" s="3" t="s">
        <v>96</v>
      </c>
      <c r="E112" s="36" t="s">
        <v>97</v>
      </c>
      <c r="F112" s="60"/>
      <c r="G112" s="60"/>
      <c r="H112" s="60"/>
      <c r="I112" s="60"/>
      <c r="J112" s="60"/>
      <c r="K112" s="58"/>
      <c r="L112" s="58"/>
      <c r="M112" s="58"/>
      <c r="N112" s="58"/>
      <c r="O112" s="58"/>
      <c r="P112" s="58"/>
      <c r="Q112" s="3" t="s">
        <v>210</v>
      </c>
      <c r="R112" s="3" t="s">
        <v>98</v>
      </c>
    </row>
    <row r="113">
      <c r="A113" s="3">
        <v>11.0</v>
      </c>
      <c r="B113" s="3" t="s">
        <v>515</v>
      </c>
      <c r="C113" s="3">
        <v>2017.0</v>
      </c>
      <c r="D113" s="3" t="s">
        <v>516</v>
      </c>
      <c r="E113" s="36" t="s">
        <v>517</v>
      </c>
      <c r="F113" s="61" t="s">
        <v>11</v>
      </c>
      <c r="G113" s="60"/>
      <c r="H113" s="60"/>
      <c r="I113" s="60"/>
      <c r="J113" s="60"/>
      <c r="K113" s="58"/>
      <c r="L113" s="58"/>
      <c r="M113" s="58"/>
      <c r="N113" s="58"/>
      <c r="O113" s="58"/>
      <c r="P113" s="58"/>
      <c r="Q113" s="3" t="s">
        <v>185</v>
      </c>
      <c r="R113" s="3" t="s">
        <v>518</v>
      </c>
    </row>
    <row r="114">
      <c r="A114" s="3">
        <v>11.0</v>
      </c>
      <c r="B114" s="74" t="s">
        <v>519</v>
      </c>
      <c r="C114" s="3">
        <v>2018.0</v>
      </c>
      <c r="D114" s="3" t="s">
        <v>520</v>
      </c>
      <c r="E114" s="36" t="s">
        <v>521</v>
      </c>
      <c r="F114" s="60"/>
      <c r="G114" s="60"/>
      <c r="H114" s="60"/>
      <c r="I114" s="60"/>
      <c r="J114" s="60"/>
      <c r="K114" s="58"/>
      <c r="L114" s="58"/>
      <c r="M114" s="58"/>
      <c r="N114" s="58"/>
      <c r="O114" s="58"/>
      <c r="P114" s="59" t="s">
        <v>11</v>
      </c>
      <c r="Q114" s="3" t="s">
        <v>185</v>
      </c>
    </row>
    <row r="115">
      <c r="A115" s="3">
        <v>11.0</v>
      </c>
      <c r="B115" s="3" t="s">
        <v>522</v>
      </c>
      <c r="C115" s="3">
        <v>2018.0</v>
      </c>
      <c r="D115" s="3" t="s">
        <v>523</v>
      </c>
      <c r="E115" s="36" t="s">
        <v>524</v>
      </c>
      <c r="F115" s="60"/>
      <c r="G115" s="60"/>
      <c r="H115" s="60"/>
      <c r="I115" s="60"/>
      <c r="J115" s="60"/>
      <c r="K115" s="58"/>
      <c r="L115" s="58"/>
      <c r="M115" s="59" t="s">
        <v>11</v>
      </c>
      <c r="N115" s="58"/>
      <c r="O115" s="58"/>
      <c r="P115" s="59" t="s">
        <v>324</v>
      </c>
      <c r="Q115" s="3" t="s">
        <v>185</v>
      </c>
    </row>
    <row r="116">
      <c r="A116" s="9">
        <v>12.0</v>
      </c>
      <c r="B116" s="3" t="s">
        <v>525</v>
      </c>
      <c r="C116" s="3">
        <v>2017.0</v>
      </c>
      <c r="D116" s="3" t="s">
        <v>526</v>
      </c>
      <c r="E116" s="36" t="s">
        <v>527</v>
      </c>
      <c r="F116" s="60"/>
      <c r="G116" s="60"/>
      <c r="H116" s="60"/>
      <c r="I116" s="60"/>
      <c r="J116" s="60"/>
      <c r="K116" s="58"/>
      <c r="L116" s="58"/>
      <c r="M116" s="58"/>
      <c r="N116" s="59" t="s">
        <v>11</v>
      </c>
      <c r="O116" s="58"/>
      <c r="P116" s="58"/>
      <c r="Q116" s="3" t="s">
        <v>185</v>
      </c>
    </row>
    <row r="117">
      <c r="A117" s="9">
        <v>12.0</v>
      </c>
      <c r="B117" s="3" t="s">
        <v>528</v>
      </c>
      <c r="C117" s="3">
        <v>2018.0</v>
      </c>
      <c r="D117" s="3" t="s">
        <v>529</v>
      </c>
      <c r="E117" s="36" t="s">
        <v>530</v>
      </c>
      <c r="F117" s="60"/>
      <c r="G117" s="60"/>
      <c r="H117" s="60"/>
      <c r="I117" s="60"/>
      <c r="J117" s="60"/>
      <c r="K117" s="58"/>
      <c r="L117" s="58"/>
      <c r="M117" s="58"/>
      <c r="N117" s="59" t="s">
        <v>11</v>
      </c>
      <c r="O117" s="58"/>
      <c r="P117" s="58"/>
      <c r="Q117" s="3" t="s">
        <v>185</v>
      </c>
    </row>
    <row r="118">
      <c r="A118" s="9">
        <v>12.0</v>
      </c>
      <c r="B118" s="3" t="s">
        <v>531</v>
      </c>
      <c r="C118" s="3">
        <v>2022.0</v>
      </c>
      <c r="D118" s="3" t="s">
        <v>532</v>
      </c>
      <c r="E118" s="36" t="s">
        <v>533</v>
      </c>
      <c r="F118" s="60"/>
      <c r="G118" s="61" t="s">
        <v>11</v>
      </c>
      <c r="H118" s="60"/>
      <c r="I118" s="60"/>
      <c r="J118" s="60"/>
      <c r="K118" s="58"/>
      <c r="L118" s="58"/>
      <c r="M118" s="58"/>
      <c r="N118" s="58"/>
      <c r="O118" s="58"/>
      <c r="P118" s="58"/>
      <c r="Q118" s="3" t="s">
        <v>185</v>
      </c>
    </row>
    <row r="119">
      <c r="A119" s="9">
        <v>12.0</v>
      </c>
      <c r="B119" s="3" t="s">
        <v>534</v>
      </c>
      <c r="C119" s="3">
        <v>2021.0</v>
      </c>
      <c r="D119" s="3" t="s">
        <v>535</v>
      </c>
      <c r="E119" s="36" t="s">
        <v>536</v>
      </c>
      <c r="F119" s="60"/>
      <c r="G119" s="61" t="s">
        <v>11</v>
      </c>
      <c r="H119" s="61" t="s">
        <v>11</v>
      </c>
      <c r="I119" s="60"/>
      <c r="J119" s="60"/>
      <c r="K119" s="58"/>
      <c r="L119" s="58"/>
      <c r="M119" s="58"/>
      <c r="N119" s="58"/>
      <c r="O119" s="58"/>
      <c r="P119" s="58"/>
      <c r="Q119" s="3" t="s">
        <v>185</v>
      </c>
    </row>
    <row r="120">
      <c r="A120" s="9">
        <v>12.0</v>
      </c>
      <c r="B120" s="3" t="s">
        <v>537</v>
      </c>
      <c r="C120" s="3">
        <v>2017.0</v>
      </c>
      <c r="D120" s="3" t="s">
        <v>538</v>
      </c>
      <c r="E120" s="36" t="s">
        <v>539</v>
      </c>
      <c r="F120" s="60"/>
      <c r="G120" s="61" t="s">
        <v>11</v>
      </c>
      <c r="H120" s="61" t="s">
        <v>11</v>
      </c>
      <c r="I120" s="60"/>
      <c r="J120" s="60"/>
      <c r="K120" s="58"/>
      <c r="L120" s="58"/>
      <c r="M120" s="58"/>
      <c r="N120" s="58"/>
      <c r="O120" s="58"/>
      <c r="P120" s="58"/>
      <c r="Q120" s="3" t="s">
        <v>185</v>
      </c>
    </row>
    <row r="121">
      <c r="A121" s="9">
        <v>12.0</v>
      </c>
      <c r="B121" s="3" t="s">
        <v>540</v>
      </c>
      <c r="C121" s="3">
        <v>2014.0</v>
      </c>
      <c r="D121" s="3" t="s">
        <v>541</v>
      </c>
      <c r="E121" s="36" t="s">
        <v>542</v>
      </c>
      <c r="F121" s="60"/>
      <c r="G121" s="60"/>
      <c r="H121" s="61" t="s">
        <v>11</v>
      </c>
      <c r="I121" s="60"/>
      <c r="J121" s="60"/>
      <c r="K121" s="58"/>
      <c r="L121" s="58"/>
      <c r="M121" s="58"/>
      <c r="N121" s="58"/>
      <c r="O121" s="58"/>
      <c r="P121" s="58"/>
      <c r="Q121" s="3" t="s">
        <v>185</v>
      </c>
    </row>
    <row r="122">
      <c r="A122" s="9">
        <v>12.0</v>
      </c>
      <c r="B122" s="3" t="s">
        <v>543</v>
      </c>
      <c r="C122" s="3">
        <v>2017.0</v>
      </c>
      <c r="D122" s="3" t="s">
        <v>544</v>
      </c>
      <c r="E122" s="36" t="s">
        <v>545</v>
      </c>
      <c r="F122" s="61" t="s">
        <v>11</v>
      </c>
      <c r="G122" s="60"/>
      <c r="H122" s="60"/>
      <c r="I122" s="60"/>
      <c r="J122" s="60"/>
      <c r="K122" s="58"/>
      <c r="L122" s="58"/>
      <c r="M122" s="58"/>
      <c r="N122" s="58"/>
      <c r="O122" s="58"/>
      <c r="P122" s="58"/>
      <c r="Q122" s="3" t="s">
        <v>185</v>
      </c>
    </row>
    <row r="123">
      <c r="A123" s="9">
        <v>12.0</v>
      </c>
      <c r="B123" s="3" t="s">
        <v>546</v>
      </c>
      <c r="C123" s="3">
        <v>2019.0</v>
      </c>
      <c r="D123" s="3" t="s">
        <v>547</v>
      </c>
      <c r="E123" s="36" t="s">
        <v>548</v>
      </c>
      <c r="F123" s="60"/>
      <c r="G123" s="60"/>
      <c r="H123" s="60"/>
      <c r="I123" s="60"/>
      <c r="J123" s="60"/>
      <c r="K123" s="58"/>
      <c r="L123" s="58"/>
      <c r="M123" s="58"/>
      <c r="N123" s="59" t="s">
        <v>11</v>
      </c>
      <c r="O123" s="58"/>
      <c r="P123" s="58"/>
      <c r="Q123" s="3" t="s">
        <v>185</v>
      </c>
    </row>
    <row r="124">
      <c r="A124" s="9">
        <v>12.0</v>
      </c>
      <c r="B124" s="3" t="s">
        <v>549</v>
      </c>
      <c r="C124" s="3">
        <v>2018.0</v>
      </c>
      <c r="D124" s="3" t="s">
        <v>550</v>
      </c>
      <c r="E124" s="36" t="s">
        <v>551</v>
      </c>
      <c r="F124" s="60"/>
      <c r="G124" s="60"/>
      <c r="H124" s="61" t="s">
        <v>11</v>
      </c>
      <c r="I124" s="60"/>
      <c r="J124" s="60"/>
      <c r="K124" s="58"/>
      <c r="L124" s="58"/>
      <c r="M124" s="58"/>
      <c r="N124" s="58"/>
      <c r="O124" s="58"/>
      <c r="P124" s="58"/>
      <c r="Q124" s="3" t="s">
        <v>185</v>
      </c>
    </row>
    <row r="125">
      <c r="A125" s="9">
        <v>12.0</v>
      </c>
      <c r="B125" s="3" t="s">
        <v>552</v>
      </c>
      <c r="C125" s="3">
        <v>2016.0</v>
      </c>
      <c r="D125" s="3" t="s">
        <v>553</v>
      </c>
      <c r="E125" s="35" t="s">
        <v>554</v>
      </c>
      <c r="F125" s="60"/>
      <c r="G125" s="61" t="s">
        <v>11</v>
      </c>
      <c r="H125" s="60"/>
      <c r="I125" s="60"/>
      <c r="J125" s="60"/>
      <c r="K125" s="58"/>
      <c r="L125" s="58"/>
      <c r="M125" s="58"/>
      <c r="N125" s="58"/>
      <c r="O125" s="58"/>
      <c r="P125" s="58"/>
      <c r="Q125" s="3" t="s">
        <v>185</v>
      </c>
    </row>
    <row r="126">
      <c r="A126" s="9">
        <v>12.0</v>
      </c>
      <c r="B126" s="3" t="s">
        <v>555</v>
      </c>
      <c r="C126" s="3">
        <v>2017.0</v>
      </c>
      <c r="D126" s="3" t="s">
        <v>556</v>
      </c>
      <c r="E126" s="36" t="s">
        <v>557</v>
      </c>
      <c r="F126" s="60"/>
      <c r="G126" s="60"/>
      <c r="H126" s="61" t="s">
        <v>11</v>
      </c>
      <c r="I126" s="60"/>
      <c r="J126" s="60"/>
      <c r="K126" s="58"/>
      <c r="L126" s="58"/>
      <c r="M126" s="58"/>
      <c r="N126" s="58"/>
      <c r="O126" s="58"/>
      <c r="P126" s="58"/>
      <c r="Q126" s="3" t="s">
        <v>185</v>
      </c>
    </row>
    <row r="127">
      <c r="A127" s="9">
        <v>12.0</v>
      </c>
      <c r="B127" s="3" t="s">
        <v>558</v>
      </c>
      <c r="C127" s="3">
        <v>2023.0</v>
      </c>
      <c r="D127" s="3" t="s">
        <v>559</v>
      </c>
      <c r="E127" s="36" t="s">
        <v>560</v>
      </c>
      <c r="F127" s="60"/>
      <c r="G127" s="61" t="s">
        <v>11</v>
      </c>
      <c r="H127" s="60"/>
      <c r="I127" s="60"/>
      <c r="J127" s="63"/>
      <c r="K127" s="58"/>
      <c r="L127" s="58"/>
      <c r="M127" s="58"/>
      <c r="N127" s="58"/>
      <c r="O127" s="58"/>
      <c r="P127" s="59"/>
      <c r="Q127" s="3" t="s">
        <v>185</v>
      </c>
    </row>
    <row r="128">
      <c r="A128" s="9">
        <v>12.0</v>
      </c>
      <c r="B128" s="3" t="s">
        <v>561</v>
      </c>
      <c r="C128" s="3">
        <v>2021.0</v>
      </c>
      <c r="D128" s="3" t="s">
        <v>562</v>
      </c>
      <c r="E128" s="36" t="s">
        <v>563</v>
      </c>
      <c r="F128" s="60"/>
      <c r="G128" s="60"/>
      <c r="H128" s="61" t="s">
        <v>11</v>
      </c>
      <c r="I128" s="60"/>
      <c r="J128" s="60"/>
      <c r="K128" s="58"/>
      <c r="L128" s="58"/>
      <c r="M128" s="58"/>
      <c r="N128" s="58"/>
      <c r="O128" s="58"/>
      <c r="P128" s="58"/>
      <c r="Q128" s="3" t="s">
        <v>185</v>
      </c>
    </row>
    <row r="129">
      <c r="A129" s="9">
        <v>12.0</v>
      </c>
      <c r="B129" s="3" t="s">
        <v>564</v>
      </c>
      <c r="C129" s="3">
        <v>2022.0</v>
      </c>
      <c r="D129" s="3" t="s">
        <v>565</v>
      </c>
      <c r="E129" s="36" t="s">
        <v>566</v>
      </c>
      <c r="F129" s="60"/>
      <c r="G129" s="60"/>
      <c r="H129" s="60"/>
      <c r="I129" s="60"/>
      <c r="J129" s="60"/>
      <c r="K129" s="59" t="s">
        <v>11</v>
      </c>
      <c r="L129" s="58"/>
      <c r="M129" s="58"/>
      <c r="N129" s="58"/>
      <c r="O129" s="58"/>
      <c r="P129" s="58"/>
      <c r="Q129" s="3" t="s">
        <v>185</v>
      </c>
    </row>
    <row r="130">
      <c r="A130" s="9">
        <v>12.0</v>
      </c>
      <c r="B130" s="3" t="s">
        <v>567</v>
      </c>
      <c r="C130" s="3">
        <v>2021.0</v>
      </c>
      <c r="D130" s="3" t="s">
        <v>568</v>
      </c>
      <c r="E130" s="36" t="s">
        <v>569</v>
      </c>
      <c r="F130" s="60"/>
      <c r="G130" s="60"/>
      <c r="H130" s="61" t="s">
        <v>11</v>
      </c>
      <c r="I130" s="60"/>
      <c r="J130" s="60"/>
      <c r="K130" s="58"/>
      <c r="L130" s="58"/>
      <c r="M130" s="58"/>
      <c r="N130" s="58"/>
      <c r="O130" s="58"/>
      <c r="P130" s="58"/>
      <c r="Q130" s="3" t="s">
        <v>185</v>
      </c>
    </row>
    <row r="131">
      <c r="A131" s="9">
        <v>12.0</v>
      </c>
      <c r="B131" s="3" t="s">
        <v>570</v>
      </c>
      <c r="C131" s="3">
        <v>2015.0</v>
      </c>
      <c r="D131" s="3" t="s">
        <v>571</v>
      </c>
      <c r="E131" s="36" t="s">
        <v>572</v>
      </c>
      <c r="F131" s="60"/>
      <c r="G131" s="60"/>
      <c r="H131" s="61" t="s">
        <v>11</v>
      </c>
      <c r="I131" s="60"/>
      <c r="J131" s="60"/>
      <c r="K131" s="58"/>
      <c r="L131" s="58"/>
      <c r="M131" s="58"/>
      <c r="N131" s="58"/>
      <c r="O131" s="58"/>
      <c r="P131" s="58"/>
      <c r="Q131" s="3" t="s">
        <v>185</v>
      </c>
    </row>
    <row r="132">
      <c r="A132" s="9">
        <v>12.0</v>
      </c>
      <c r="B132" s="3" t="s">
        <v>573</v>
      </c>
      <c r="C132" s="3">
        <v>2017.0</v>
      </c>
      <c r="D132" s="3" t="s">
        <v>574</v>
      </c>
      <c r="E132" s="36" t="s">
        <v>575</v>
      </c>
      <c r="F132" s="60"/>
      <c r="G132" s="60"/>
      <c r="H132" s="61" t="s">
        <v>11</v>
      </c>
      <c r="I132" s="60"/>
      <c r="J132" s="60"/>
      <c r="K132" s="58"/>
      <c r="L132" s="58"/>
      <c r="M132" s="58"/>
      <c r="N132" s="58"/>
      <c r="O132" s="58"/>
      <c r="P132" s="58"/>
      <c r="Q132" s="3" t="s">
        <v>185</v>
      </c>
    </row>
    <row r="133">
      <c r="A133" s="9">
        <v>12.0</v>
      </c>
      <c r="B133" s="3" t="s">
        <v>576</v>
      </c>
      <c r="C133" s="3">
        <v>2016.0</v>
      </c>
      <c r="D133" s="3" t="s">
        <v>577</v>
      </c>
      <c r="E133" s="36" t="s">
        <v>578</v>
      </c>
      <c r="F133" s="60"/>
      <c r="G133" s="60"/>
      <c r="H133" s="61" t="s">
        <v>11</v>
      </c>
      <c r="I133" s="60"/>
      <c r="J133" s="60"/>
      <c r="K133" s="58"/>
      <c r="L133" s="58"/>
      <c r="M133" s="58"/>
      <c r="N133" s="58"/>
      <c r="O133" s="58"/>
      <c r="P133" s="58"/>
      <c r="Q133" s="3" t="s">
        <v>185</v>
      </c>
    </row>
    <row r="134">
      <c r="A134" s="9">
        <v>12.0</v>
      </c>
      <c r="B134" s="3" t="s">
        <v>579</v>
      </c>
      <c r="C134" s="3">
        <v>2022.0</v>
      </c>
      <c r="D134" s="3" t="s">
        <v>580</v>
      </c>
      <c r="E134" s="36" t="s">
        <v>581</v>
      </c>
      <c r="F134" s="60"/>
      <c r="G134" s="61" t="s">
        <v>11</v>
      </c>
      <c r="H134" s="60"/>
      <c r="I134" s="60"/>
      <c r="J134" s="60"/>
      <c r="K134" s="58"/>
      <c r="L134" s="58"/>
      <c r="M134" s="58"/>
      <c r="N134" s="58"/>
      <c r="O134" s="58"/>
      <c r="P134" s="58"/>
      <c r="Q134" s="3" t="s">
        <v>185</v>
      </c>
    </row>
    <row r="135">
      <c r="A135" s="9">
        <v>12.0</v>
      </c>
      <c r="B135" s="3" t="s">
        <v>582</v>
      </c>
      <c r="C135" s="3">
        <v>2016.0</v>
      </c>
      <c r="D135" s="3" t="s">
        <v>583</v>
      </c>
      <c r="E135" s="36" t="s">
        <v>584</v>
      </c>
      <c r="F135" s="60"/>
      <c r="G135" s="60"/>
      <c r="H135" s="61" t="s">
        <v>11</v>
      </c>
      <c r="I135" s="60"/>
      <c r="J135" s="60"/>
      <c r="K135" s="58"/>
      <c r="L135" s="58"/>
      <c r="M135" s="58"/>
      <c r="N135" s="59" t="s">
        <v>11</v>
      </c>
      <c r="O135" s="58"/>
      <c r="P135" s="58"/>
      <c r="Q135" s="3" t="s">
        <v>185</v>
      </c>
    </row>
    <row r="136">
      <c r="A136" s="9">
        <v>12.0</v>
      </c>
      <c r="B136" s="3" t="s">
        <v>585</v>
      </c>
      <c r="C136" s="3">
        <v>2022.0</v>
      </c>
      <c r="D136" s="3" t="s">
        <v>586</v>
      </c>
      <c r="E136" s="36" t="s">
        <v>587</v>
      </c>
      <c r="F136" s="61" t="s">
        <v>11</v>
      </c>
      <c r="G136" s="61" t="s">
        <v>11</v>
      </c>
      <c r="H136" s="61" t="s">
        <v>11</v>
      </c>
      <c r="I136" s="60"/>
      <c r="J136" s="60"/>
      <c r="K136" s="58"/>
      <c r="L136" s="58"/>
      <c r="M136" s="58"/>
      <c r="N136" s="58"/>
      <c r="O136" s="58"/>
      <c r="P136" s="58"/>
      <c r="Q136" s="3" t="s">
        <v>185</v>
      </c>
    </row>
    <row r="137">
      <c r="A137" s="9">
        <v>12.0</v>
      </c>
      <c r="B137" s="3" t="s">
        <v>588</v>
      </c>
      <c r="C137" s="3">
        <v>2023.0</v>
      </c>
      <c r="D137" s="3" t="s">
        <v>586</v>
      </c>
      <c r="E137" s="36" t="s">
        <v>589</v>
      </c>
      <c r="F137" s="60"/>
      <c r="G137" s="60"/>
      <c r="H137" s="60"/>
      <c r="I137" s="60"/>
      <c r="J137" s="63"/>
      <c r="K137" s="58"/>
      <c r="L137" s="58"/>
      <c r="M137" s="58"/>
      <c r="N137" s="58"/>
      <c r="O137" s="58"/>
      <c r="P137" s="59"/>
      <c r="Q137" s="3" t="s">
        <v>185</v>
      </c>
      <c r="R137" s="3" t="s">
        <v>590</v>
      </c>
    </row>
    <row r="138">
      <c r="A138" s="9">
        <v>12.0</v>
      </c>
      <c r="B138" s="75" t="s">
        <v>591</v>
      </c>
      <c r="C138" s="3">
        <v>2022.0</v>
      </c>
      <c r="D138" s="3" t="s">
        <v>586</v>
      </c>
      <c r="E138" s="36" t="s">
        <v>592</v>
      </c>
      <c r="F138" s="60"/>
      <c r="G138" s="60"/>
      <c r="H138" s="61"/>
      <c r="I138" s="60"/>
      <c r="J138" s="60"/>
      <c r="K138" s="59"/>
      <c r="L138" s="58"/>
      <c r="M138" s="58"/>
      <c r="N138" s="59"/>
      <c r="O138" s="58"/>
      <c r="P138" s="58"/>
      <c r="Q138" s="3" t="s">
        <v>185</v>
      </c>
      <c r="R138" s="3" t="s">
        <v>590</v>
      </c>
    </row>
    <row r="139">
      <c r="A139" s="9">
        <v>12.0</v>
      </c>
      <c r="B139" s="3" t="s">
        <v>593</v>
      </c>
      <c r="C139" s="3">
        <v>2022.0</v>
      </c>
      <c r="D139" s="3" t="s">
        <v>594</v>
      </c>
      <c r="E139" s="36" t="s">
        <v>595</v>
      </c>
      <c r="F139" s="60"/>
      <c r="G139" s="60"/>
      <c r="H139" s="61" t="s">
        <v>11</v>
      </c>
      <c r="I139" s="60"/>
      <c r="J139" s="60"/>
      <c r="K139" s="59" t="s">
        <v>11</v>
      </c>
      <c r="L139" s="58"/>
      <c r="M139" s="58"/>
      <c r="N139" s="59"/>
      <c r="O139" s="58"/>
      <c r="P139" s="58"/>
      <c r="Q139" s="3" t="s">
        <v>185</v>
      </c>
    </row>
    <row r="140">
      <c r="A140" s="9">
        <v>12.0</v>
      </c>
      <c r="B140" s="3" t="s">
        <v>596</v>
      </c>
      <c r="C140" s="3">
        <v>2015.0</v>
      </c>
      <c r="D140" s="3" t="s">
        <v>597</v>
      </c>
      <c r="E140" s="36" t="s">
        <v>598</v>
      </c>
      <c r="F140" s="60"/>
      <c r="G140" s="60"/>
      <c r="H140" s="60"/>
      <c r="I140" s="60"/>
      <c r="J140" s="60"/>
      <c r="K140" s="59" t="s">
        <v>11</v>
      </c>
      <c r="L140" s="58"/>
      <c r="M140" s="58"/>
      <c r="N140" s="58"/>
      <c r="O140" s="58"/>
      <c r="P140" s="58"/>
      <c r="Q140" s="3" t="s">
        <v>185</v>
      </c>
    </row>
    <row r="141">
      <c r="A141" s="9">
        <v>12.0</v>
      </c>
      <c r="B141" s="3" t="s">
        <v>599</v>
      </c>
      <c r="C141" s="3">
        <v>2021.0</v>
      </c>
      <c r="D141" s="3" t="s">
        <v>600</v>
      </c>
      <c r="E141" s="36" t="s">
        <v>601</v>
      </c>
      <c r="F141" s="60"/>
      <c r="G141" s="60"/>
      <c r="H141" s="61" t="s">
        <v>11</v>
      </c>
      <c r="I141" s="60"/>
      <c r="J141" s="60"/>
      <c r="K141" s="58"/>
      <c r="L141" s="58"/>
      <c r="M141" s="58"/>
      <c r="N141" s="58"/>
      <c r="O141" s="58"/>
      <c r="P141" s="58"/>
      <c r="Q141" s="3" t="s">
        <v>185</v>
      </c>
    </row>
    <row r="142">
      <c r="A142" s="9">
        <v>12.0</v>
      </c>
      <c r="B142" s="3" t="s">
        <v>602</v>
      </c>
      <c r="C142" s="3">
        <v>2015.0</v>
      </c>
      <c r="D142" s="3" t="s">
        <v>603</v>
      </c>
      <c r="E142" s="36" t="s">
        <v>604</v>
      </c>
      <c r="F142" s="60"/>
      <c r="G142" s="60"/>
      <c r="H142" s="61" t="s">
        <v>11</v>
      </c>
      <c r="I142" s="60"/>
      <c r="J142" s="60"/>
      <c r="K142" s="58"/>
      <c r="L142" s="58"/>
      <c r="M142" s="58"/>
      <c r="N142" s="58"/>
      <c r="O142" s="58"/>
      <c r="P142" s="58"/>
      <c r="Q142" s="3" t="s">
        <v>185</v>
      </c>
    </row>
    <row r="143">
      <c r="A143" s="9">
        <v>12.0</v>
      </c>
      <c r="B143" s="3" t="s">
        <v>605</v>
      </c>
      <c r="C143" s="3">
        <v>2018.0</v>
      </c>
      <c r="D143" s="3" t="s">
        <v>606</v>
      </c>
      <c r="E143" s="36" t="s">
        <v>607</v>
      </c>
      <c r="F143" s="60"/>
      <c r="G143" s="60"/>
      <c r="H143" s="60"/>
      <c r="I143" s="60"/>
      <c r="J143" s="60"/>
      <c r="K143" s="58"/>
      <c r="L143" s="58"/>
      <c r="M143" s="58"/>
      <c r="N143" s="58"/>
      <c r="O143" s="58"/>
      <c r="P143" s="59" t="s">
        <v>11</v>
      </c>
      <c r="Q143" s="3" t="s">
        <v>185</v>
      </c>
    </row>
    <row r="144">
      <c r="A144" s="9">
        <v>12.0</v>
      </c>
      <c r="B144" s="3" t="s">
        <v>608</v>
      </c>
      <c r="C144" s="3">
        <v>2015.0</v>
      </c>
      <c r="D144" s="3" t="s">
        <v>609</v>
      </c>
      <c r="E144" s="36" t="s">
        <v>610</v>
      </c>
      <c r="F144" s="60"/>
      <c r="G144" s="60"/>
      <c r="H144" s="60"/>
      <c r="I144" s="60"/>
      <c r="J144" s="60"/>
      <c r="K144" s="58"/>
      <c r="L144" s="58"/>
      <c r="M144" s="58"/>
      <c r="N144" s="58"/>
      <c r="O144" s="58"/>
      <c r="P144" s="58"/>
      <c r="Q144" s="3" t="s">
        <v>210</v>
      </c>
      <c r="R144" s="3" t="s">
        <v>611</v>
      </c>
    </row>
    <row r="145">
      <c r="A145" s="9">
        <v>12.0</v>
      </c>
      <c r="B145" s="3" t="s">
        <v>612</v>
      </c>
      <c r="C145" s="3">
        <v>2019.0</v>
      </c>
      <c r="D145" s="3" t="s">
        <v>613</v>
      </c>
      <c r="E145" s="36" t="s">
        <v>614</v>
      </c>
      <c r="F145" s="60"/>
      <c r="G145" s="60"/>
      <c r="H145" s="61" t="s">
        <v>11</v>
      </c>
      <c r="I145" s="60"/>
      <c r="J145" s="60"/>
      <c r="K145" s="58"/>
      <c r="L145" s="58"/>
      <c r="M145" s="58"/>
      <c r="N145" s="58"/>
      <c r="O145" s="58"/>
      <c r="P145" s="58"/>
      <c r="Q145" s="3" t="s">
        <v>185</v>
      </c>
    </row>
    <row r="146">
      <c r="A146" s="9">
        <v>12.0</v>
      </c>
      <c r="B146" s="3" t="s">
        <v>615</v>
      </c>
      <c r="C146" s="3">
        <v>2017.0</v>
      </c>
      <c r="D146" s="3" t="s">
        <v>616</v>
      </c>
      <c r="E146" s="35" t="s">
        <v>617</v>
      </c>
      <c r="F146" s="60"/>
      <c r="G146" s="60"/>
      <c r="H146" s="61" t="s">
        <v>11</v>
      </c>
      <c r="I146" s="60"/>
      <c r="J146" s="60"/>
      <c r="K146" s="58"/>
      <c r="L146" s="58"/>
      <c r="M146" s="58"/>
      <c r="N146" s="58"/>
      <c r="O146" s="58"/>
      <c r="P146" s="58"/>
      <c r="Q146" s="3" t="s">
        <v>185</v>
      </c>
    </row>
    <row r="147">
      <c r="A147" s="9">
        <v>12.0</v>
      </c>
      <c r="B147" s="3" t="s">
        <v>99</v>
      </c>
      <c r="C147" s="3">
        <v>2021.0</v>
      </c>
      <c r="D147" s="3" t="s">
        <v>100</v>
      </c>
      <c r="E147" s="36" t="s">
        <v>101</v>
      </c>
      <c r="F147" s="60"/>
      <c r="G147" s="60"/>
      <c r="H147" s="60"/>
      <c r="I147" s="60"/>
      <c r="J147" s="60"/>
      <c r="K147" s="58"/>
      <c r="L147" s="58"/>
      <c r="M147" s="58"/>
      <c r="N147" s="58"/>
      <c r="O147" s="58"/>
      <c r="P147" s="58"/>
      <c r="Q147" s="3" t="s">
        <v>210</v>
      </c>
      <c r="R147" s="3" t="s">
        <v>102</v>
      </c>
    </row>
    <row r="148">
      <c r="A148" s="9">
        <v>12.0</v>
      </c>
      <c r="B148" s="3" t="s">
        <v>618</v>
      </c>
      <c r="C148" s="3">
        <v>2015.0</v>
      </c>
      <c r="D148" s="3" t="s">
        <v>619</v>
      </c>
      <c r="E148" s="36" t="s">
        <v>620</v>
      </c>
      <c r="F148" s="60"/>
      <c r="G148" s="60"/>
      <c r="H148" s="60"/>
      <c r="I148" s="60"/>
      <c r="J148" s="60"/>
      <c r="K148" s="58"/>
      <c r="L148" s="58"/>
      <c r="M148" s="58"/>
      <c r="N148" s="58"/>
      <c r="O148" s="58"/>
      <c r="P148" s="59" t="s">
        <v>11</v>
      </c>
      <c r="Q148" s="3" t="s">
        <v>185</v>
      </c>
    </row>
    <row r="149">
      <c r="A149" s="9">
        <v>12.0</v>
      </c>
      <c r="B149" s="3" t="s">
        <v>621</v>
      </c>
      <c r="C149" s="3">
        <v>2013.0</v>
      </c>
      <c r="D149" s="3" t="s">
        <v>622</v>
      </c>
      <c r="E149" s="36" t="s">
        <v>623</v>
      </c>
      <c r="F149" s="60"/>
      <c r="G149" s="60"/>
      <c r="H149" s="61" t="s">
        <v>11</v>
      </c>
      <c r="I149" s="60"/>
      <c r="J149" s="60"/>
      <c r="K149" s="58"/>
      <c r="L149" s="58"/>
      <c r="M149" s="58"/>
      <c r="N149" s="58"/>
      <c r="O149" s="58"/>
      <c r="P149" s="58"/>
      <c r="Q149" s="3" t="s">
        <v>185</v>
      </c>
      <c r="R149" s="3" t="s">
        <v>624</v>
      </c>
    </row>
    <row r="150">
      <c r="A150" s="9">
        <v>12.0</v>
      </c>
      <c r="B150" s="3" t="s">
        <v>625</v>
      </c>
      <c r="C150" s="3">
        <v>2016.0</v>
      </c>
      <c r="D150" s="3" t="s">
        <v>626</v>
      </c>
      <c r="E150" s="35" t="s">
        <v>627</v>
      </c>
      <c r="F150" s="60"/>
      <c r="G150" s="61" t="s">
        <v>11</v>
      </c>
      <c r="H150" s="60"/>
      <c r="I150" s="60"/>
      <c r="J150" s="60"/>
      <c r="K150" s="58"/>
      <c r="L150" s="58"/>
      <c r="M150" s="58"/>
      <c r="N150" s="58"/>
      <c r="O150" s="58"/>
      <c r="P150" s="58"/>
      <c r="Q150" s="3" t="s">
        <v>185</v>
      </c>
      <c r="R150" s="3" t="s">
        <v>628</v>
      </c>
    </row>
    <row r="151">
      <c r="A151" s="9">
        <v>12.0</v>
      </c>
      <c r="B151" s="3" t="s">
        <v>629</v>
      </c>
      <c r="C151" s="3">
        <v>2022.0</v>
      </c>
      <c r="D151" s="3" t="s">
        <v>630</v>
      </c>
      <c r="E151" s="36" t="s">
        <v>631</v>
      </c>
      <c r="F151" s="60"/>
      <c r="G151" s="60"/>
      <c r="H151" s="60"/>
      <c r="I151" s="60"/>
      <c r="J151" s="60"/>
      <c r="K151" s="58"/>
      <c r="L151" s="58"/>
      <c r="M151" s="58"/>
      <c r="N151" s="58"/>
      <c r="O151" s="58"/>
      <c r="P151" s="59" t="s">
        <v>11</v>
      </c>
      <c r="Q151" s="3" t="s">
        <v>185</v>
      </c>
    </row>
    <row r="152">
      <c r="A152" s="9">
        <v>12.0</v>
      </c>
      <c r="B152" s="3" t="s">
        <v>632</v>
      </c>
      <c r="C152" s="3">
        <v>2014.0</v>
      </c>
      <c r="D152" s="3" t="s">
        <v>633</v>
      </c>
      <c r="E152" s="36" t="s">
        <v>634</v>
      </c>
      <c r="F152" s="60"/>
      <c r="G152" s="60"/>
      <c r="H152" s="61" t="s">
        <v>11</v>
      </c>
      <c r="I152" s="60"/>
      <c r="J152" s="60"/>
      <c r="K152" s="58"/>
      <c r="L152" s="58"/>
      <c r="M152" s="58"/>
      <c r="N152" s="58"/>
      <c r="O152" s="58"/>
      <c r="P152" s="58"/>
      <c r="Q152" s="3" t="s">
        <v>185</v>
      </c>
      <c r="R152" s="3" t="s">
        <v>635</v>
      </c>
    </row>
    <row r="153">
      <c r="A153" s="9">
        <v>12.0</v>
      </c>
      <c r="B153" s="3" t="s">
        <v>636</v>
      </c>
      <c r="C153" s="3">
        <v>2021.0</v>
      </c>
      <c r="D153" s="3" t="s">
        <v>637</v>
      </c>
      <c r="E153" s="36" t="s">
        <v>638</v>
      </c>
      <c r="F153" s="60"/>
      <c r="G153" s="60"/>
      <c r="H153" s="60"/>
      <c r="I153" s="60"/>
      <c r="J153" s="60"/>
      <c r="K153" s="58"/>
      <c r="L153" s="58"/>
      <c r="M153" s="58"/>
      <c r="N153" s="58"/>
      <c r="O153" s="58"/>
      <c r="P153" s="59" t="s">
        <v>11</v>
      </c>
      <c r="Q153" s="3" t="s">
        <v>185</v>
      </c>
    </row>
    <row r="154">
      <c r="A154" s="9">
        <v>12.0</v>
      </c>
      <c r="B154" s="3" t="s">
        <v>639</v>
      </c>
      <c r="C154" s="3">
        <v>2022.0</v>
      </c>
      <c r="D154" s="3" t="s">
        <v>640</v>
      </c>
      <c r="E154" s="36" t="s">
        <v>641</v>
      </c>
      <c r="F154" s="60"/>
      <c r="G154" s="61" t="s">
        <v>11</v>
      </c>
      <c r="H154" s="60"/>
      <c r="I154" s="60"/>
      <c r="J154" s="60"/>
      <c r="K154" s="58"/>
      <c r="L154" s="58"/>
      <c r="M154" s="58"/>
      <c r="N154" s="58"/>
      <c r="O154" s="58"/>
      <c r="P154" s="58"/>
      <c r="Q154" s="3" t="s">
        <v>185</v>
      </c>
    </row>
    <row r="155">
      <c r="A155" s="9">
        <v>12.0</v>
      </c>
      <c r="B155" s="3" t="s">
        <v>642</v>
      </c>
      <c r="C155" s="3">
        <v>2021.0</v>
      </c>
      <c r="D155" s="3" t="s">
        <v>643</v>
      </c>
      <c r="E155" s="36" t="s">
        <v>644</v>
      </c>
      <c r="F155" s="60"/>
      <c r="G155" s="60"/>
      <c r="H155" s="60"/>
      <c r="I155" s="60"/>
      <c r="J155" s="60"/>
      <c r="K155" s="58"/>
      <c r="L155" s="58"/>
      <c r="M155" s="58"/>
      <c r="N155" s="58"/>
      <c r="O155" s="58"/>
      <c r="P155" s="59" t="s">
        <v>11</v>
      </c>
      <c r="Q155" s="3" t="s">
        <v>185</v>
      </c>
    </row>
    <row r="156">
      <c r="A156" s="9">
        <v>12.0</v>
      </c>
      <c r="B156" s="3" t="s">
        <v>645</v>
      </c>
      <c r="C156" s="3">
        <v>2014.0</v>
      </c>
      <c r="D156" s="3" t="s">
        <v>646</v>
      </c>
      <c r="E156" s="36" t="s">
        <v>647</v>
      </c>
      <c r="F156" s="60"/>
      <c r="G156" s="61" t="s">
        <v>11</v>
      </c>
      <c r="H156" s="60"/>
      <c r="I156" s="60"/>
      <c r="J156" s="60"/>
      <c r="K156" s="58"/>
      <c r="L156" s="58"/>
      <c r="M156" s="58"/>
      <c r="N156" s="58"/>
      <c r="O156" s="58"/>
      <c r="P156" s="58"/>
      <c r="Q156" s="3" t="s">
        <v>185</v>
      </c>
      <c r="R156" s="3" t="s">
        <v>648</v>
      </c>
    </row>
    <row r="157">
      <c r="A157" s="9">
        <v>12.0</v>
      </c>
      <c r="B157" s="3" t="s">
        <v>649</v>
      </c>
      <c r="C157" s="3">
        <v>2020.0</v>
      </c>
      <c r="D157" s="3" t="s">
        <v>650</v>
      </c>
      <c r="E157" s="35" t="s">
        <v>651</v>
      </c>
      <c r="F157" s="60"/>
      <c r="G157" s="60"/>
      <c r="H157" s="61" t="s">
        <v>11</v>
      </c>
      <c r="I157" s="60"/>
      <c r="J157" s="60"/>
      <c r="K157" s="58"/>
      <c r="L157" s="58"/>
      <c r="M157" s="58"/>
      <c r="N157" s="58"/>
      <c r="O157" s="58"/>
      <c r="P157" s="58"/>
      <c r="Q157" s="3" t="s">
        <v>185</v>
      </c>
    </row>
    <row r="158">
      <c r="A158" s="9">
        <v>12.0</v>
      </c>
      <c r="B158" s="3" t="s">
        <v>652</v>
      </c>
      <c r="C158" s="3">
        <v>2015.0</v>
      </c>
      <c r="D158" s="3" t="s">
        <v>653</v>
      </c>
      <c r="E158" s="36" t="s">
        <v>654</v>
      </c>
      <c r="F158" s="60"/>
      <c r="G158" s="60"/>
      <c r="H158" s="60"/>
      <c r="I158" s="60"/>
      <c r="J158" s="60"/>
      <c r="K158" s="58"/>
      <c r="L158" s="59" t="s">
        <v>11</v>
      </c>
      <c r="M158" s="58"/>
      <c r="N158" s="58"/>
      <c r="O158" s="58"/>
      <c r="P158" s="58"/>
      <c r="Q158" s="3" t="s">
        <v>185</v>
      </c>
    </row>
    <row r="159">
      <c r="A159" s="9">
        <v>12.0</v>
      </c>
      <c r="B159" s="3" t="s">
        <v>655</v>
      </c>
      <c r="C159" s="3">
        <v>2018.0</v>
      </c>
      <c r="D159" s="3" t="s">
        <v>656</v>
      </c>
      <c r="E159" s="36" t="s">
        <v>657</v>
      </c>
      <c r="F159" s="60"/>
      <c r="G159" s="60"/>
      <c r="H159" s="61" t="s">
        <v>11</v>
      </c>
      <c r="I159" s="60"/>
      <c r="J159" s="60"/>
      <c r="K159" s="58"/>
      <c r="L159" s="58"/>
      <c r="M159" s="58"/>
      <c r="N159" s="58"/>
      <c r="O159" s="58"/>
      <c r="P159" s="58"/>
      <c r="Q159" s="3" t="s">
        <v>185</v>
      </c>
    </row>
    <row r="160">
      <c r="A160" s="9">
        <v>12.0</v>
      </c>
      <c r="B160" s="3" t="s">
        <v>658</v>
      </c>
      <c r="C160" s="3">
        <v>2016.0</v>
      </c>
      <c r="D160" s="3" t="s">
        <v>659</v>
      </c>
      <c r="E160" s="36" t="s">
        <v>660</v>
      </c>
      <c r="F160" s="60"/>
      <c r="G160" s="60"/>
      <c r="H160" s="61" t="s">
        <v>11</v>
      </c>
      <c r="I160" s="60"/>
      <c r="J160" s="60"/>
      <c r="K160" s="58"/>
      <c r="L160" s="58"/>
      <c r="M160" s="58"/>
      <c r="N160" s="58"/>
      <c r="O160" s="58"/>
      <c r="P160" s="58"/>
      <c r="Q160" s="3" t="s">
        <v>185</v>
      </c>
    </row>
    <row r="161">
      <c r="A161" s="9">
        <v>12.0</v>
      </c>
      <c r="B161" s="3" t="s">
        <v>661</v>
      </c>
      <c r="C161" s="3">
        <v>2015.0</v>
      </c>
      <c r="D161" s="3" t="s">
        <v>662</v>
      </c>
      <c r="E161" s="36" t="s">
        <v>663</v>
      </c>
      <c r="F161" s="60"/>
      <c r="G161" s="60"/>
      <c r="H161" s="60"/>
      <c r="I161" s="60"/>
      <c r="J161" s="60"/>
      <c r="K161" s="58"/>
      <c r="L161" s="59" t="s">
        <v>11</v>
      </c>
      <c r="M161" s="58"/>
      <c r="N161" s="58"/>
      <c r="O161" s="58"/>
      <c r="P161" s="58"/>
      <c r="Q161" s="3" t="s">
        <v>185</v>
      </c>
    </row>
    <row r="162">
      <c r="A162" s="9">
        <v>12.0</v>
      </c>
      <c r="B162" s="3" t="s">
        <v>103</v>
      </c>
      <c r="C162" s="3">
        <v>2019.0</v>
      </c>
      <c r="D162" s="3" t="s">
        <v>104</v>
      </c>
      <c r="E162" s="35" t="s">
        <v>105</v>
      </c>
      <c r="F162" s="60"/>
      <c r="G162" s="60"/>
      <c r="H162" s="60"/>
      <c r="I162" s="60"/>
      <c r="J162" s="60"/>
      <c r="K162" s="58"/>
      <c r="L162" s="58"/>
      <c r="M162" s="58"/>
      <c r="N162" s="58"/>
      <c r="O162" s="58"/>
      <c r="P162" s="58"/>
      <c r="Q162" s="3" t="s">
        <v>210</v>
      </c>
      <c r="R162" s="3" t="s">
        <v>106</v>
      </c>
    </row>
    <row r="163">
      <c r="A163" s="9">
        <v>12.0</v>
      </c>
      <c r="B163" s="3" t="s">
        <v>664</v>
      </c>
      <c r="C163" s="3">
        <v>2018.0</v>
      </c>
      <c r="D163" s="3" t="s">
        <v>665</v>
      </c>
      <c r="E163" s="36" t="s">
        <v>666</v>
      </c>
      <c r="F163" s="60"/>
      <c r="G163" s="60"/>
      <c r="H163" s="60"/>
      <c r="I163" s="60"/>
      <c r="J163" s="60"/>
      <c r="K163" s="58"/>
      <c r="L163" s="58"/>
      <c r="M163" s="58"/>
      <c r="N163" s="58"/>
      <c r="O163" s="58"/>
      <c r="P163" s="59" t="s">
        <v>11</v>
      </c>
      <c r="Q163" s="3" t="s">
        <v>185</v>
      </c>
    </row>
    <row r="164">
      <c r="A164" s="9">
        <v>12.0</v>
      </c>
      <c r="B164" s="3" t="s">
        <v>667</v>
      </c>
      <c r="C164" s="3">
        <v>2016.0</v>
      </c>
      <c r="D164" s="3" t="s">
        <v>668</v>
      </c>
      <c r="E164" s="36" t="s">
        <v>669</v>
      </c>
      <c r="F164" s="60"/>
      <c r="G164" s="60"/>
      <c r="H164" s="61" t="s">
        <v>11</v>
      </c>
      <c r="I164" s="60"/>
      <c r="J164" s="60"/>
      <c r="K164" s="58"/>
      <c r="L164" s="58"/>
      <c r="M164" s="58"/>
      <c r="N164" s="58"/>
      <c r="O164" s="58"/>
      <c r="P164" s="58"/>
      <c r="Q164" s="3" t="s">
        <v>185</v>
      </c>
    </row>
    <row r="165">
      <c r="A165" s="9">
        <v>12.0</v>
      </c>
      <c r="B165" s="3" t="s">
        <v>670</v>
      </c>
      <c r="C165" s="3">
        <v>2016.0</v>
      </c>
      <c r="D165" s="3" t="s">
        <v>671</v>
      </c>
      <c r="E165" s="67" t="s">
        <v>672</v>
      </c>
      <c r="F165" s="60"/>
      <c r="G165" s="60"/>
      <c r="H165" s="60"/>
      <c r="I165" s="60"/>
      <c r="J165" s="60"/>
      <c r="K165" s="58"/>
      <c r="L165" s="58"/>
      <c r="M165" s="59" t="s">
        <v>11</v>
      </c>
      <c r="N165" s="58"/>
      <c r="O165" s="58"/>
      <c r="P165" s="58"/>
      <c r="Q165" s="3" t="s">
        <v>185</v>
      </c>
    </row>
    <row r="166">
      <c r="A166" s="9">
        <v>12.0</v>
      </c>
      <c r="B166" s="3" t="s">
        <v>673</v>
      </c>
      <c r="C166" s="3">
        <v>2015.0</v>
      </c>
      <c r="D166" s="3" t="s">
        <v>674</v>
      </c>
      <c r="E166" s="36" t="s">
        <v>675</v>
      </c>
      <c r="F166" s="60"/>
      <c r="G166" s="60"/>
      <c r="H166" s="60"/>
      <c r="I166" s="60"/>
      <c r="J166" s="60"/>
      <c r="K166" s="58"/>
      <c r="L166" s="58"/>
      <c r="M166" s="58"/>
      <c r="N166" s="58"/>
      <c r="O166" s="58"/>
      <c r="P166" s="59" t="s">
        <v>11</v>
      </c>
      <c r="Q166" s="3" t="s">
        <v>185</v>
      </c>
    </row>
    <row r="167">
      <c r="A167" s="9">
        <v>12.0</v>
      </c>
      <c r="B167" s="3" t="s">
        <v>676</v>
      </c>
      <c r="C167" s="3">
        <v>2015.0</v>
      </c>
      <c r="D167" s="3" t="s">
        <v>677</v>
      </c>
      <c r="E167" s="36" t="s">
        <v>678</v>
      </c>
      <c r="F167" s="60"/>
      <c r="G167" s="60"/>
      <c r="H167" s="60"/>
      <c r="I167" s="60"/>
      <c r="J167" s="60"/>
      <c r="K167" s="58"/>
      <c r="L167" s="58"/>
      <c r="M167" s="58"/>
      <c r="N167" s="58"/>
      <c r="O167" s="58"/>
      <c r="P167" s="59" t="s">
        <v>11</v>
      </c>
      <c r="Q167" s="3" t="s">
        <v>185</v>
      </c>
    </row>
    <row r="168">
      <c r="A168" s="9">
        <v>12.0</v>
      </c>
      <c r="B168" s="3" t="s">
        <v>540</v>
      </c>
      <c r="C168" s="3">
        <v>2014.0</v>
      </c>
      <c r="D168" s="3" t="s">
        <v>679</v>
      </c>
      <c r="E168" s="36" t="s">
        <v>542</v>
      </c>
      <c r="F168" s="60"/>
      <c r="G168" s="61" t="s">
        <v>11</v>
      </c>
      <c r="H168" s="61" t="s">
        <v>11</v>
      </c>
      <c r="I168" s="60"/>
      <c r="J168" s="60"/>
      <c r="K168" s="58"/>
      <c r="L168" s="58"/>
      <c r="M168" s="58"/>
      <c r="N168" s="58"/>
      <c r="O168" s="58"/>
      <c r="P168" s="58"/>
      <c r="Q168" s="3" t="s">
        <v>185</v>
      </c>
    </row>
    <row r="169">
      <c r="A169" s="9">
        <v>12.0</v>
      </c>
      <c r="B169" s="3" t="s">
        <v>680</v>
      </c>
      <c r="C169" s="3">
        <v>2018.0</v>
      </c>
      <c r="D169" s="3" t="s">
        <v>681</v>
      </c>
      <c r="E169" s="36" t="s">
        <v>682</v>
      </c>
      <c r="F169" s="60"/>
      <c r="G169" s="60"/>
      <c r="H169" s="60"/>
      <c r="I169" s="60"/>
      <c r="J169" s="60"/>
      <c r="K169" s="58"/>
      <c r="L169" s="59" t="s">
        <v>11</v>
      </c>
      <c r="M169" s="58"/>
      <c r="N169" s="58"/>
      <c r="O169" s="58"/>
      <c r="P169" s="59" t="s">
        <v>11</v>
      </c>
      <c r="Q169" s="3" t="s">
        <v>185</v>
      </c>
    </row>
    <row r="170">
      <c r="A170" s="9">
        <v>12.0</v>
      </c>
      <c r="B170" s="3" t="s">
        <v>107</v>
      </c>
      <c r="C170" s="3">
        <v>2016.0</v>
      </c>
      <c r="D170" s="3" t="s">
        <v>108</v>
      </c>
      <c r="E170" s="36" t="s">
        <v>109</v>
      </c>
      <c r="F170" s="60"/>
      <c r="G170" s="60"/>
      <c r="H170" s="60"/>
      <c r="I170" s="60"/>
      <c r="J170" s="60"/>
      <c r="K170" s="58"/>
      <c r="L170" s="58"/>
      <c r="M170" s="58"/>
      <c r="N170" s="58"/>
      <c r="O170" s="58"/>
      <c r="P170" s="58"/>
      <c r="Q170" s="3" t="s">
        <v>210</v>
      </c>
      <c r="R170" s="3" t="s">
        <v>110</v>
      </c>
    </row>
    <row r="171">
      <c r="A171" s="9">
        <v>12.0</v>
      </c>
      <c r="B171" s="3" t="s">
        <v>683</v>
      </c>
      <c r="C171" s="3">
        <v>2020.0</v>
      </c>
      <c r="D171" s="3" t="s">
        <v>684</v>
      </c>
      <c r="E171" s="36" t="s">
        <v>685</v>
      </c>
      <c r="F171" s="60"/>
      <c r="G171" s="60"/>
      <c r="H171" s="60"/>
      <c r="I171" s="60"/>
      <c r="J171" s="60"/>
      <c r="K171" s="58"/>
      <c r="L171" s="59" t="s">
        <v>11</v>
      </c>
      <c r="M171" s="58"/>
      <c r="N171" s="58"/>
      <c r="O171" s="58"/>
      <c r="P171" s="59"/>
      <c r="Q171" s="3" t="s">
        <v>185</v>
      </c>
    </row>
    <row r="172">
      <c r="A172" s="9">
        <v>12.0</v>
      </c>
      <c r="B172" s="3" t="s">
        <v>686</v>
      </c>
      <c r="C172" s="3">
        <v>2023.0</v>
      </c>
      <c r="D172" s="37" t="s">
        <v>687</v>
      </c>
      <c r="E172" s="36" t="s">
        <v>688</v>
      </c>
      <c r="F172" s="60"/>
      <c r="G172" s="60"/>
      <c r="H172" s="60"/>
      <c r="I172" s="61" t="s">
        <v>11</v>
      </c>
      <c r="J172" s="60"/>
      <c r="K172" s="58"/>
      <c r="L172" s="58"/>
      <c r="M172" s="58"/>
      <c r="N172" s="58"/>
      <c r="O172" s="58"/>
      <c r="P172" s="58"/>
      <c r="Q172" s="3" t="s">
        <v>185</v>
      </c>
      <c r="R172" s="3"/>
    </row>
    <row r="173">
      <c r="A173" s="9">
        <v>12.0</v>
      </c>
      <c r="B173" s="3" t="s">
        <v>689</v>
      </c>
      <c r="C173" s="3">
        <v>2024.0</v>
      </c>
      <c r="D173" s="76" t="s">
        <v>690</v>
      </c>
      <c r="E173" s="36" t="s">
        <v>691</v>
      </c>
      <c r="F173" s="60"/>
      <c r="G173" s="61" t="s">
        <v>11</v>
      </c>
      <c r="H173" s="61" t="s">
        <v>11</v>
      </c>
      <c r="I173" s="60"/>
      <c r="J173" s="60"/>
      <c r="K173" s="58"/>
      <c r="L173" s="58"/>
      <c r="M173" s="58"/>
      <c r="N173" s="58"/>
      <c r="O173" s="58"/>
      <c r="P173" s="58"/>
      <c r="Q173" s="3" t="s">
        <v>185</v>
      </c>
      <c r="R173" s="3"/>
    </row>
    <row r="174">
      <c r="A174" s="9">
        <v>12.0</v>
      </c>
      <c r="B174" s="3" t="s">
        <v>692</v>
      </c>
      <c r="C174" s="3">
        <v>2023.0</v>
      </c>
      <c r="D174" s="37" t="s">
        <v>693</v>
      </c>
      <c r="E174" s="36" t="s">
        <v>694</v>
      </c>
      <c r="F174" s="60"/>
      <c r="G174" s="61" t="s">
        <v>11</v>
      </c>
      <c r="H174" s="61" t="s">
        <v>11</v>
      </c>
      <c r="I174" s="60"/>
      <c r="J174" s="60"/>
      <c r="K174" s="58"/>
      <c r="L174" s="58"/>
      <c r="M174" s="58"/>
      <c r="N174" s="58"/>
      <c r="O174" s="58"/>
      <c r="P174" s="58"/>
      <c r="Q174" s="3" t="s">
        <v>185</v>
      </c>
      <c r="R174" s="3"/>
    </row>
    <row r="175">
      <c r="A175" s="9">
        <v>12.0</v>
      </c>
      <c r="B175" s="3" t="s">
        <v>695</v>
      </c>
      <c r="C175" s="3">
        <v>2023.0</v>
      </c>
      <c r="D175" s="37" t="s">
        <v>696</v>
      </c>
      <c r="E175" s="36" t="s">
        <v>697</v>
      </c>
      <c r="F175" s="60"/>
      <c r="G175" s="60"/>
      <c r="H175" s="60"/>
      <c r="I175" s="60"/>
      <c r="J175" s="60"/>
      <c r="K175" s="58"/>
      <c r="L175" s="58"/>
      <c r="M175" s="58"/>
      <c r="N175" s="58"/>
      <c r="O175" s="58"/>
      <c r="P175" s="58"/>
      <c r="Q175" s="3" t="s">
        <v>185</v>
      </c>
      <c r="R175" s="3" t="s">
        <v>698</v>
      </c>
    </row>
    <row r="176">
      <c r="A176" s="9">
        <v>12.0</v>
      </c>
      <c r="B176" s="3" t="s">
        <v>699</v>
      </c>
      <c r="C176" s="3">
        <v>2023.0</v>
      </c>
      <c r="D176" s="37" t="s">
        <v>700</v>
      </c>
      <c r="E176" s="36" t="s">
        <v>701</v>
      </c>
      <c r="F176" s="60"/>
      <c r="G176" s="60"/>
      <c r="H176" s="60"/>
      <c r="I176" s="60"/>
      <c r="J176" s="60"/>
      <c r="K176" s="58"/>
      <c r="L176" s="58"/>
      <c r="M176" s="58"/>
      <c r="N176" s="58"/>
      <c r="O176" s="58"/>
      <c r="P176" s="59" t="s">
        <v>11</v>
      </c>
      <c r="Q176" s="3" t="s">
        <v>185</v>
      </c>
      <c r="R176" s="3"/>
    </row>
    <row r="177">
      <c r="A177" s="9">
        <v>13.0</v>
      </c>
      <c r="B177" s="3" t="s">
        <v>702</v>
      </c>
      <c r="C177" s="3">
        <v>2024.0</v>
      </c>
      <c r="D177" s="76" t="s">
        <v>703</v>
      </c>
      <c r="E177" s="36" t="s">
        <v>704</v>
      </c>
      <c r="F177" s="60"/>
      <c r="G177" s="61" t="s">
        <v>11</v>
      </c>
      <c r="H177" s="60"/>
      <c r="I177" s="60"/>
      <c r="J177" s="60"/>
      <c r="K177" s="58"/>
      <c r="L177" s="58"/>
      <c r="M177" s="58"/>
      <c r="N177" s="58"/>
      <c r="O177" s="58"/>
      <c r="P177" s="58"/>
      <c r="Q177" s="3" t="s">
        <v>185</v>
      </c>
      <c r="R177" s="3"/>
    </row>
    <row r="178">
      <c r="A178" s="9">
        <v>13.0</v>
      </c>
      <c r="B178" s="3" t="s">
        <v>705</v>
      </c>
      <c r="C178" s="3">
        <v>2023.0</v>
      </c>
      <c r="D178" s="37" t="s">
        <v>706</v>
      </c>
      <c r="E178" s="36" t="s">
        <v>707</v>
      </c>
      <c r="F178" s="60"/>
      <c r="G178" s="60"/>
      <c r="H178" s="60"/>
      <c r="I178" s="60"/>
      <c r="J178" s="60"/>
      <c r="K178" s="58"/>
      <c r="L178" s="58"/>
      <c r="M178" s="58"/>
      <c r="N178" s="58"/>
      <c r="O178" s="58"/>
      <c r="P178" s="59" t="s">
        <v>11</v>
      </c>
      <c r="Q178" s="3" t="s">
        <v>185</v>
      </c>
      <c r="R178" s="3"/>
    </row>
    <row r="179">
      <c r="A179" s="9">
        <v>14.0</v>
      </c>
      <c r="B179" s="44" t="s">
        <v>708</v>
      </c>
      <c r="C179" s="3">
        <v>2018.0</v>
      </c>
      <c r="D179" s="37" t="s">
        <v>709</v>
      </c>
      <c r="E179" s="36" t="s">
        <v>710</v>
      </c>
      <c r="F179" s="60"/>
      <c r="G179" s="60"/>
      <c r="H179" s="60"/>
      <c r="I179" s="60"/>
      <c r="J179" s="60"/>
      <c r="K179" s="58"/>
      <c r="L179" s="58"/>
      <c r="M179" s="58"/>
      <c r="N179" s="58"/>
      <c r="O179" s="58"/>
      <c r="P179" s="58"/>
      <c r="Q179" s="3" t="s">
        <v>185</v>
      </c>
      <c r="R179" s="3" t="s">
        <v>711</v>
      </c>
    </row>
    <row r="180">
      <c r="A180" s="9">
        <v>14.0</v>
      </c>
      <c r="B180" s="3" t="s">
        <v>111</v>
      </c>
      <c r="C180" s="3">
        <v>2018.0</v>
      </c>
      <c r="D180" s="37" t="s">
        <v>112</v>
      </c>
      <c r="E180" s="36" t="s">
        <v>113</v>
      </c>
      <c r="F180" s="60"/>
      <c r="G180" s="60"/>
      <c r="H180" s="60"/>
      <c r="I180" s="60"/>
      <c r="J180" s="60"/>
      <c r="K180" s="58"/>
      <c r="L180" s="58"/>
      <c r="M180" s="58"/>
      <c r="N180" s="58"/>
      <c r="O180" s="58"/>
      <c r="P180" s="58"/>
      <c r="Q180" s="3" t="s">
        <v>210</v>
      </c>
    </row>
    <row r="181">
      <c r="A181" s="9">
        <v>14.0</v>
      </c>
      <c r="B181" s="3" t="s">
        <v>712</v>
      </c>
      <c r="C181" s="3">
        <v>2017.0</v>
      </c>
      <c r="D181" s="3" t="s">
        <v>713</v>
      </c>
      <c r="E181" s="36" t="s">
        <v>714</v>
      </c>
      <c r="F181" s="60"/>
      <c r="G181" s="60"/>
      <c r="H181" s="61" t="s">
        <v>11</v>
      </c>
      <c r="I181" s="60"/>
      <c r="J181" s="60"/>
      <c r="K181" s="58"/>
      <c r="L181" s="58"/>
      <c r="M181" s="58"/>
      <c r="N181" s="58"/>
      <c r="O181" s="58"/>
      <c r="P181" s="58"/>
      <c r="Q181" s="3" t="s">
        <v>185</v>
      </c>
      <c r="R181" s="3" t="s">
        <v>715</v>
      </c>
    </row>
    <row r="182">
      <c r="A182" s="9">
        <v>14.0</v>
      </c>
      <c r="B182" s="3" t="s">
        <v>114</v>
      </c>
      <c r="C182" s="3">
        <v>2016.0</v>
      </c>
      <c r="D182" s="3" t="s">
        <v>115</v>
      </c>
      <c r="E182" s="35" t="s">
        <v>116</v>
      </c>
      <c r="F182" s="60"/>
      <c r="G182" s="60"/>
      <c r="H182" s="60"/>
      <c r="I182" s="60"/>
      <c r="J182" s="60"/>
      <c r="K182" s="58"/>
      <c r="L182" s="58"/>
      <c r="M182" s="58"/>
      <c r="N182" s="58"/>
      <c r="O182" s="58"/>
      <c r="P182" s="58"/>
      <c r="Q182" s="3" t="s">
        <v>210</v>
      </c>
      <c r="R182" s="3" t="s">
        <v>117</v>
      </c>
    </row>
    <row r="183">
      <c r="A183" s="9">
        <v>14.0</v>
      </c>
      <c r="B183" s="3" t="s">
        <v>716</v>
      </c>
      <c r="C183" s="3">
        <v>2020.0</v>
      </c>
      <c r="D183" s="3" t="s">
        <v>717</v>
      </c>
      <c r="E183" s="36" t="s">
        <v>718</v>
      </c>
      <c r="F183" s="60"/>
      <c r="G183" s="60"/>
      <c r="H183" s="61" t="s">
        <v>11</v>
      </c>
      <c r="I183" s="60"/>
      <c r="J183" s="60"/>
      <c r="K183" s="58"/>
      <c r="L183" s="58"/>
      <c r="M183" s="58"/>
      <c r="N183" s="58"/>
      <c r="O183" s="58"/>
      <c r="P183" s="58"/>
      <c r="Q183" s="3" t="s">
        <v>185</v>
      </c>
    </row>
    <row r="184">
      <c r="A184" s="9">
        <v>14.0</v>
      </c>
      <c r="B184" s="3" t="s">
        <v>719</v>
      </c>
      <c r="C184" s="3">
        <v>2023.0</v>
      </c>
      <c r="D184" s="3" t="s">
        <v>720</v>
      </c>
      <c r="E184" s="36" t="s">
        <v>721</v>
      </c>
      <c r="F184" s="60"/>
      <c r="G184" s="60"/>
      <c r="H184" s="60"/>
      <c r="I184" s="60"/>
      <c r="J184" s="60"/>
      <c r="K184" s="58"/>
      <c r="L184" s="58"/>
      <c r="M184" s="58"/>
      <c r="N184" s="58"/>
      <c r="O184" s="58"/>
      <c r="P184" s="59" t="s">
        <v>11</v>
      </c>
      <c r="Q184" s="3" t="s">
        <v>185</v>
      </c>
    </row>
    <row r="185">
      <c r="A185" s="9">
        <v>14.0</v>
      </c>
      <c r="B185" s="3" t="s">
        <v>118</v>
      </c>
      <c r="C185" s="3">
        <v>2021.0</v>
      </c>
      <c r="D185" s="3" t="s">
        <v>119</v>
      </c>
      <c r="E185" s="36" t="s">
        <v>120</v>
      </c>
      <c r="F185" s="60"/>
      <c r="G185" s="60"/>
      <c r="H185" s="60"/>
      <c r="I185" s="60"/>
      <c r="J185" s="60"/>
      <c r="K185" s="58"/>
      <c r="L185" s="58"/>
      <c r="M185" s="58"/>
      <c r="N185" s="58"/>
      <c r="O185" s="58"/>
      <c r="P185" s="58"/>
      <c r="Q185" s="3" t="s">
        <v>210</v>
      </c>
    </row>
    <row r="186">
      <c r="A186" s="9">
        <v>14.0</v>
      </c>
      <c r="B186" s="3" t="s">
        <v>722</v>
      </c>
      <c r="C186" s="3">
        <v>2017.0</v>
      </c>
      <c r="D186" s="3" t="s">
        <v>723</v>
      </c>
      <c r="E186" s="36" t="s">
        <v>724</v>
      </c>
      <c r="F186" s="60"/>
      <c r="G186" s="60"/>
      <c r="H186" s="60"/>
      <c r="I186" s="60"/>
      <c r="J186" s="60"/>
      <c r="K186" s="58"/>
      <c r="L186" s="58"/>
      <c r="M186" s="58"/>
      <c r="N186" s="58"/>
      <c r="O186" s="58"/>
      <c r="P186" s="59" t="s">
        <v>11</v>
      </c>
      <c r="Q186" s="3" t="s">
        <v>185</v>
      </c>
    </row>
    <row r="187">
      <c r="A187" s="9">
        <v>14.0</v>
      </c>
      <c r="B187" s="3" t="s">
        <v>121</v>
      </c>
      <c r="C187" s="3">
        <v>2016.0</v>
      </c>
      <c r="D187" s="3" t="s">
        <v>122</v>
      </c>
      <c r="E187" s="36" t="s">
        <v>123</v>
      </c>
      <c r="F187" s="60"/>
      <c r="G187" s="60"/>
      <c r="H187" s="60"/>
      <c r="I187" s="60"/>
      <c r="J187" s="60"/>
      <c r="K187" s="58"/>
      <c r="L187" s="58"/>
      <c r="M187" s="58"/>
      <c r="N187" s="58"/>
      <c r="O187" s="58"/>
      <c r="P187" s="58"/>
      <c r="Q187" s="3" t="s">
        <v>210</v>
      </c>
    </row>
    <row r="188">
      <c r="A188" s="9">
        <v>14.0</v>
      </c>
      <c r="B188" s="3" t="s">
        <v>725</v>
      </c>
      <c r="C188" s="3">
        <v>2021.0</v>
      </c>
      <c r="D188" s="3" t="s">
        <v>726</v>
      </c>
      <c r="E188" s="36" t="s">
        <v>727</v>
      </c>
      <c r="F188" s="60"/>
      <c r="G188" s="60"/>
      <c r="H188" s="60"/>
      <c r="I188" s="60"/>
      <c r="J188" s="60"/>
      <c r="K188" s="58"/>
      <c r="L188" s="58"/>
      <c r="M188" s="58"/>
      <c r="N188" s="58"/>
      <c r="O188" s="58"/>
      <c r="P188" s="59" t="s">
        <v>11</v>
      </c>
      <c r="Q188" s="3" t="s">
        <v>185</v>
      </c>
    </row>
    <row r="189">
      <c r="A189" s="9">
        <v>14.0</v>
      </c>
      <c r="B189" s="3" t="s">
        <v>728</v>
      </c>
      <c r="C189" s="3">
        <v>2020.0</v>
      </c>
      <c r="D189" s="3" t="s">
        <v>729</v>
      </c>
      <c r="E189" s="36" t="s">
        <v>730</v>
      </c>
      <c r="F189" s="60"/>
      <c r="G189" s="60"/>
      <c r="H189" s="60"/>
      <c r="I189" s="60"/>
      <c r="J189" s="60"/>
      <c r="K189" s="58"/>
      <c r="L189" s="58"/>
      <c r="M189" s="58"/>
      <c r="N189" s="58"/>
      <c r="O189" s="58"/>
      <c r="P189" s="59" t="s">
        <v>11</v>
      </c>
      <c r="Q189" s="3" t="s">
        <v>185</v>
      </c>
    </row>
    <row r="190">
      <c r="A190" s="9">
        <v>14.0</v>
      </c>
      <c r="B190" s="3" t="s">
        <v>731</v>
      </c>
      <c r="C190" s="3">
        <v>2018.0</v>
      </c>
      <c r="D190" s="3" t="s">
        <v>732</v>
      </c>
      <c r="E190" s="36" t="s">
        <v>733</v>
      </c>
      <c r="F190" s="60"/>
      <c r="G190" s="60"/>
      <c r="H190" s="60"/>
      <c r="I190" s="60"/>
      <c r="J190" s="60"/>
      <c r="K190" s="58"/>
      <c r="L190" s="58"/>
      <c r="M190" s="58"/>
      <c r="N190" s="58"/>
      <c r="O190" s="58"/>
      <c r="P190" s="59" t="s">
        <v>11</v>
      </c>
      <c r="Q190" s="3" t="s">
        <v>185</v>
      </c>
    </row>
    <row r="191">
      <c r="A191" s="9">
        <v>14.0</v>
      </c>
      <c r="B191" s="3" t="s">
        <v>734</v>
      </c>
      <c r="C191" s="3">
        <v>2022.0</v>
      </c>
      <c r="D191" s="3" t="s">
        <v>735</v>
      </c>
      <c r="E191" s="36" t="s">
        <v>736</v>
      </c>
      <c r="F191" s="60"/>
      <c r="G191" s="60"/>
      <c r="H191" s="60"/>
      <c r="I191" s="61" t="s">
        <v>11</v>
      </c>
      <c r="J191" s="60"/>
      <c r="K191" s="58"/>
      <c r="L191" s="58"/>
      <c r="M191" s="58"/>
      <c r="N191" s="58"/>
      <c r="O191" s="58"/>
      <c r="P191" s="58"/>
      <c r="Q191" s="3" t="s">
        <v>185</v>
      </c>
      <c r="R191" s="3" t="s">
        <v>737</v>
      </c>
    </row>
    <row r="192">
      <c r="A192" s="9">
        <v>14.0</v>
      </c>
      <c r="B192" s="3" t="s">
        <v>738</v>
      </c>
      <c r="C192" s="3">
        <v>2020.0</v>
      </c>
      <c r="D192" s="3" t="s">
        <v>739</v>
      </c>
      <c r="E192" s="36" t="s">
        <v>740</v>
      </c>
      <c r="F192" s="60"/>
      <c r="G192" s="60"/>
      <c r="H192" s="60"/>
      <c r="I192" s="60"/>
      <c r="J192" s="60"/>
      <c r="K192" s="58"/>
      <c r="L192" s="58"/>
      <c r="M192" s="58"/>
      <c r="N192" s="58"/>
      <c r="O192" s="58"/>
      <c r="P192" s="59" t="s">
        <v>11</v>
      </c>
      <c r="Q192" s="3" t="s">
        <v>185</v>
      </c>
    </row>
    <row r="193">
      <c r="A193" s="9">
        <v>14.0</v>
      </c>
      <c r="B193" s="3" t="s">
        <v>741</v>
      </c>
      <c r="C193" s="3">
        <v>2019.0</v>
      </c>
      <c r="D193" s="3" t="s">
        <v>742</v>
      </c>
      <c r="E193" s="36" t="s">
        <v>743</v>
      </c>
      <c r="F193" s="60"/>
      <c r="G193" s="60"/>
      <c r="H193" s="60"/>
      <c r="I193" s="60"/>
      <c r="J193" s="60"/>
      <c r="K193" s="58"/>
      <c r="L193" s="58"/>
      <c r="M193" s="58"/>
      <c r="N193" s="58"/>
      <c r="O193" s="58"/>
      <c r="P193" s="59" t="s">
        <v>11</v>
      </c>
      <c r="Q193" s="3" t="s">
        <v>185</v>
      </c>
    </row>
    <row r="194">
      <c r="A194" s="9">
        <v>14.0</v>
      </c>
      <c r="B194" s="3" t="s">
        <v>744</v>
      </c>
      <c r="C194" s="3">
        <v>2018.0</v>
      </c>
      <c r="D194" s="3" t="s">
        <v>745</v>
      </c>
      <c r="E194" s="36" t="s">
        <v>733</v>
      </c>
      <c r="F194" s="60"/>
      <c r="G194" s="61"/>
      <c r="H194" s="61"/>
      <c r="I194" s="60"/>
      <c r="J194" s="60"/>
      <c r="K194" s="58"/>
      <c r="L194" s="58"/>
      <c r="M194" s="58"/>
      <c r="N194" s="59"/>
      <c r="O194" s="58"/>
      <c r="P194" s="59" t="s">
        <v>11</v>
      </c>
      <c r="Q194" s="3" t="s">
        <v>185</v>
      </c>
    </row>
    <row r="195">
      <c r="A195" s="9">
        <v>14.0</v>
      </c>
      <c r="B195" s="3" t="s">
        <v>746</v>
      </c>
      <c r="C195" s="3">
        <v>2020.0</v>
      </c>
      <c r="D195" s="3" t="s">
        <v>747</v>
      </c>
      <c r="E195" s="36" t="s">
        <v>748</v>
      </c>
      <c r="F195" s="60"/>
      <c r="G195" s="61"/>
      <c r="H195" s="61"/>
      <c r="I195" s="60"/>
      <c r="J195" s="60"/>
      <c r="K195" s="58"/>
      <c r="L195" s="58"/>
      <c r="M195" s="58"/>
      <c r="N195" s="59"/>
      <c r="O195" s="58"/>
      <c r="P195" s="59" t="s">
        <v>11</v>
      </c>
      <c r="Q195" s="3" t="s">
        <v>185</v>
      </c>
    </row>
    <row r="196">
      <c r="A196" s="9">
        <v>15.0</v>
      </c>
      <c r="B196" s="3" t="s">
        <v>749</v>
      </c>
      <c r="C196" s="3">
        <v>2022.0</v>
      </c>
      <c r="D196" s="3" t="s">
        <v>750</v>
      </c>
      <c r="E196" s="36" t="s">
        <v>751</v>
      </c>
      <c r="F196" s="60"/>
      <c r="G196" s="61"/>
      <c r="H196" s="61" t="s">
        <v>11</v>
      </c>
      <c r="I196" s="60"/>
      <c r="J196" s="60"/>
      <c r="K196" s="58"/>
      <c r="L196" s="58"/>
      <c r="M196" s="58"/>
      <c r="N196" s="59" t="s">
        <v>11</v>
      </c>
      <c r="O196" s="58"/>
      <c r="P196" s="58"/>
      <c r="Q196" s="3" t="s">
        <v>185</v>
      </c>
    </row>
    <row r="197">
      <c r="A197" s="9">
        <v>15.0</v>
      </c>
      <c r="B197" s="3" t="s">
        <v>752</v>
      </c>
      <c r="C197" s="3">
        <v>2021.0</v>
      </c>
      <c r="D197" s="3" t="s">
        <v>753</v>
      </c>
      <c r="E197" s="36" t="s">
        <v>754</v>
      </c>
      <c r="F197" s="60"/>
      <c r="G197" s="60"/>
      <c r="H197" s="61" t="s">
        <v>11</v>
      </c>
      <c r="I197" s="60"/>
      <c r="J197" s="60"/>
      <c r="K197" s="58"/>
      <c r="L197" s="58"/>
      <c r="M197" s="58"/>
      <c r="N197" s="58"/>
      <c r="O197" s="58"/>
      <c r="P197" s="58"/>
      <c r="Q197" s="3" t="s">
        <v>185</v>
      </c>
    </row>
    <row r="198">
      <c r="A198" s="9">
        <v>15.0</v>
      </c>
      <c r="B198" s="3" t="s">
        <v>755</v>
      </c>
      <c r="C198" s="3">
        <v>2021.0</v>
      </c>
      <c r="D198" s="3" t="s">
        <v>756</v>
      </c>
      <c r="E198" s="36" t="s">
        <v>757</v>
      </c>
      <c r="F198" s="60"/>
      <c r="G198" s="60"/>
      <c r="H198" s="61" t="s">
        <v>11</v>
      </c>
      <c r="I198" s="60"/>
      <c r="J198" s="60"/>
      <c r="K198" s="58"/>
      <c r="L198" s="58"/>
      <c r="M198" s="58"/>
      <c r="N198" s="58"/>
      <c r="O198" s="58"/>
      <c r="P198" s="58"/>
      <c r="Q198" s="3" t="s">
        <v>185</v>
      </c>
    </row>
    <row r="199">
      <c r="A199" s="9">
        <v>15.0</v>
      </c>
      <c r="B199" s="3" t="s">
        <v>758</v>
      </c>
      <c r="C199" s="3">
        <v>2022.0</v>
      </c>
      <c r="D199" s="3" t="s">
        <v>759</v>
      </c>
      <c r="E199" s="36" t="s">
        <v>760</v>
      </c>
      <c r="F199" s="60"/>
      <c r="G199" s="60"/>
      <c r="H199" s="61" t="s">
        <v>11</v>
      </c>
      <c r="I199" s="60"/>
      <c r="J199" s="60"/>
      <c r="K199" s="58"/>
      <c r="L199" s="58"/>
      <c r="M199" s="58"/>
      <c r="N199" s="58"/>
      <c r="O199" s="58"/>
      <c r="P199" s="58"/>
      <c r="Q199" s="3" t="s">
        <v>185</v>
      </c>
      <c r="R199" s="3" t="s">
        <v>761</v>
      </c>
    </row>
    <row r="200">
      <c r="A200" s="9">
        <v>15.0</v>
      </c>
      <c r="B200" s="3" t="s">
        <v>762</v>
      </c>
      <c r="C200" s="3">
        <v>2023.0</v>
      </c>
      <c r="D200" s="3" t="s">
        <v>763</v>
      </c>
      <c r="E200" s="36" t="s">
        <v>764</v>
      </c>
      <c r="F200" s="60"/>
      <c r="G200" s="60"/>
      <c r="H200" s="60"/>
      <c r="I200" s="60"/>
      <c r="J200" s="61"/>
      <c r="K200" s="58"/>
      <c r="L200" s="58"/>
      <c r="M200" s="58"/>
      <c r="N200" s="59" t="s">
        <v>11</v>
      </c>
      <c r="O200" s="58"/>
      <c r="P200" s="58"/>
      <c r="Q200" s="3" t="s">
        <v>185</v>
      </c>
      <c r="R200" s="3" t="s">
        <v>765</v>
      </c>
    </row>
    <row r="201">
      <c r="A201" s="9">
        <v>15.0</v>
      </c>
      <c r="B201" s="3" t="s">
        <v>766</v>
      </c>
      <c r="C201" s="3">
        <v>2023.0</v>
      </c>
      <c r="D201" s="3" t="s">
        <v>767</v>
      </c>
      <c r="E201" s="36" t="s">
        <v>768</v>
      </c>
      <c r="F201" s="60"/>
      <c r="G201" s="61" t="s">
        <v>11</v>
      </c>
      <c r="H201" s="61" t="s">
        <v>11</v>
      </c>
      <c r="I201" s="60"/>
      <c r="J201" s="63"/>
      <c r="K201" s="58"/>
      <c r="L201" s="58"/>
      <c r="M201" s="58"/>
      <c r="N201" s="58"/>
      <c r="O201" s="58"/>
      <c r="P201" s="58"/>
      <c r="Q201" s="3" t="s">
        <v>185</v>
      </c>
      <c r="R201" s="3" t="s">
        <v>769</v>
      </c>
    </row>
    <row r="202">
      <c r="A202" s="9">
        <v>15.0</v>
      </c>
      <c r="B202" s="3" t="s">
        <v>770</v>
      </c>
      <c r="C202" s="3">
        <v>2023.0</v>
      </c>
      <c r="D202" s="3" t="s">
        <v>771</v>
      </c>
      <c r="E202" s="36" t="s">
        <v>772</v>
      </c>
      <c r="F202" s="60"/>
      <c r="G202" s="60"/>
      <c r="H202" s="60"/>
      <c r="I202" s="60"/>
      <c r="J202" s="63"/>
      <c r="K202" s="58"/>
      <c r="L202" s="58"/>
      <c r="M202" s="58"/>
      <c r="N202" s="59" t="s">
        <v>11</v>
      </c>
      <c r="O202" s="58"/>
      <c r="P202" s="58"/>
      <c r="Q202" s="3" t="s">
        <v>185</v>
      </c>
    </row>
    <row r="203">
      <c r="A203" s="9">
        <v>15.0</v>
      </c>
      <c r="B203" s="3" t="s">
        <v>773</v>
      </c>
      <c r="C203" s="3">
        <v>2022.0</v>
      </c>
      <c r="D203" s="3" t="s">
        <v>774</v>
      </c>
      <c r="E203" s="36" t="s">
        <v>775</v>
      </c>
      <c r="F203" s="60"/>
      <c r="G203" s="60"/>
      <c r="H203" s="60"/>
      <c r="I203" s="60"/>
      <c r="J203" s="60"/>
      <c r="K203" s="58"/>
      <c r="L203" s="58"/>
      <c r="M203" s="59" t="s">
        <v>11</v>
      </c>
      <c r="N203" s="58"/>
      <c r="O203" s="58"/>
      <c r="P203" s="58"/>
      <c r="Q203" s="3" t="s">
        <v>185</v>
      </c>
      <c r="R203" s="3" t="s">
        <v>776</v>
      </c>
    </row>
    <row r="204">
      <c r="A204" s="9">
        <v>15.0</v>
      </c>
      <c r="B204" s="3" t="s">
        <v>777</v>
      </c>
      <c r="C204" s="3">
        <v>2022.0</v>
      </c>
      <c r="D204" s="77" t="s">
        <v>778</v>
      </c>
      <c r="E204" s="36" t="s">
        <v>779</v>
      </c>
      <c r="F204" s="60"/>
      <c r="G204" s="60"/>
      <c r="H204" s="60"/>
      <c r="I204" s="60"/>
      <c r="J204" s="60"/>
      <c r="K204" s="58"/>
      <c r="L204" s="58"/>
      <c r="M204" s="58"/>
      <c r="N204" s="59" t="s">
        <v>11</v>
      </c>
      <c r="O204" s="58"/>
      <c r="P204" s="58"/>
      <c r="Q204" s="3" t="s">
        <v>185</v>
      </c>
    </row>
    <row r="205">
      <c r="A205" s="9">
        <v>15.0</v>
      </c>
      <c r="B205" s="3" t="s">
        <v>755</v>
      </c>
      <c r="C205" s="3">
        <v>2021.0</v>
      </c>
      <c r="D205" s="3" t="s">
        <v>780</v>
      </c>
      <c r="E205" s="36" t="s">
        <v>757</v>
      </c>
      <c r="F205" s="60"/>
      <c r="G205" s="60"/>
      <c r="H205" s="61" t="s">
        <v>11</v>
      </c>
      <c r="I205" s="60"/>
      <c r="J205" s="60"/>
      <c r="K205" s="58"/>
      <c r="L205" s="58"/>
      <c r="M205" s="58"/>
      <c r="N205" s="58"/>
      <c r="O205" s="58"/>
      <c r="P205" s="58"/>
      <c r="Q205" s="3" t="s">
        <v>185</v>
      </c>
    </row>
    <row r="206">
      <c r="A206" s="9">
        <v>15.0</v>
      </c>
      <c r="B206" s="3" t="s">
        <v>781</v>
      </c>
      <c r="C206" s="3">
        <v>2023.0</v>
      </c>
      <c r="D206" s="3" t="s">
        <v>782</v>
      </c>
      <c r="E206" s="36" t="s">
        <v>783</v>
      </c>
      <c r="F206" s="60"/>
      <c r="G206" s="61" t="s">
        <v>11</v>
      </c>
      <c r="H206" s="61" t="s">
        <v>11</v>
      </c>
      <c r="I206" s="60"/>
      <c r="J206" s="63"/>
      <c r="K206" s="58"/>
      <c r="L206" s="58"/>
      <c r="M206" s="58"/>
      <c r="N206" s="58"/>
      <c r="O206" s="58"/>
      <c r="P206" s="58"/>
      <c r="Q206" s="3" t="s">
        <v>185</v>
      </c>
    </row>
    <row r="207">
      <c r="A207" s="9">
        <v>15.0</v>
      </c>
      <c r="B207" s="3" t="s">
        <v>784</v>
      </c>
      <c r="C207" s="3">
        <v>2023.0</v>
      </c>
      <c r="D207" s="3" t="s">
        <v>785</v>
      </c>
      <c r="E207" s="36" t="s">
        <v>786</v>
      </c>
      <c r="F207" s="60"/>
      <c r="G207" s="60"/>
      <c r="H207" s="60"/>
      <c r="I207" s="60"/>
      <c r="J207" s="60"/>
      <c r="K207" s="58"/>
      <c r="L207" s="58"/>
      <c r="M207" s="59"/>
      <c r="N207" s="59" t="s">
        <v>11</v>
      </c>
      <c r="O207" s="58"/>
      <c r="P207" s="58"/>
      <c r="Q207" s="3" t="s">
        <v>185</v>
      </c>
    </row>
    <row r="208">
      <c r="A208" s="9">
        <v>15.0</v>
      </c>
      <c r="B208" s="3" t="s">
        <v>787</v>
      </c>
      <c r="C208" s="3">
        <v>2023.0</v>
      </c>
      <c r="D208" s="3" t="s">
        <v>788</v>
      </c>
      <c r="E208" s="36" t="s">
        <v>789</v>
      </c>
      <c r="F208" s="60"/>
      <c r="G208" s="61" t="s">
        <v>11</v>
      </c>
      <c r="H208" s="61" t="s">
        <v>11</v>
      </c>
      <c r="I208" s="60"/>
      <c r="J208" s="60"/>
      <c r="K208" s="58"/>
      <c r="L208" s="58"/>
      <c r="M208" s="59"/>
      <c r="N208" s="58"/>
      <c r="O208" s="58"/>
      <c r="P208" s="58"/>
      <c r="Q208" s="3" t="s">
        <v>185</v>
      </c>
    </row>
    <row r="209">
      <c r="A209" s="9">
        <v>15.0</v>
      </c>
      <c r="B209" s="3" t="s">
        <v>790</v>
      </c>
      <c r="C209" s="3">
        <v>2023.0</v>
      </c>
      <c r="D209" s="3" t="s">
        <v>791</v>
      </c>
      <c r="E209" s="36" t="s">
        <v>792</v>
      </c>
      <c r="F209" s="60"/>
      <c r="G209" s="60"/>
      <c r="H209" s="61" t="s">
        <v>11</v>
      </c>
      <c r="I209" s="60"/>
      <c r="J209" s="60"/>
      <c r="K209" s="58"/>
      <c r="L209" s="58"/>
      <c r="M209" s="59"/>
      <c r="N209" s="58"/>
      <c r="O209" s="58"/>
      <c r="P209" s="58"/>
      <c r="Q209" s="3" t="s">
        <v>185</v>
      </c>
      <c r="R209" s="3" t="s">
        <v>793</v>
      </c>
    </row>
    <row r="210">
      <c r="A210" s="9">
        <v>16.0</v>
      </c>
      <c r="B210" s="3" t="s">
        <v>794</v>
      </c>
      <c r="C210" s="3">
        <v>2019.0</v>
      </c>
      <c r="D210" s="3" t="s">
        <v>795</v>
      </c>
      <c r="E210" s="36" t="s">
        <v>796</v>
      </c>
      <c r="F210" s="60"/>
      <c r="G210" s="60"/>
      <c r="H210" s="60"/>
      <c r="I210" s="60"/>
      <c r="J210" s="60"/>
      <c r="K210" s="58"/>
      <c r="L210" s="58"/>
      <c r="M210" s="59" t="s">
        <v>11</v>
      </c>
      <c r="N210" s="58"/>
      <c r="O210" s="58"/>
      <c r="P210" s="58"/>
      <c r="Q210" s="3" t="s">
        <v>185</v>
      </c>
    </row>
    <row r="211">
      <c r="A211" s="9">
        <v>16.0</v>
      </c>
      <c r="B211" s="3" t="s">
        <v>797</v>
      </c>
      <c r="C211" s="3">
        <v>2018.0</v>
      </c>
      <c r="D211" s="3" t="s">
        <v>798</v>
      </c>
      <c r="E211" s="36" t="s">
        <v>799</v>
      </c>
      <c r="F211" s="60"/>
      <c r="G211" s="60"/>
      <c r="H211" s="61" t="s">
        <v>11</v>
      </c>
      <c r="I211" s="60"/>
      <c r="J211" s="60"/>
      <c r="K211" s="59" t="s">
        <v>11</v>
      </c>
      <c r="L211" s="58"/>
      <c r="M211" s="58"/>
      <c r="N211" s="58"/>
      <c r="O211" s="58"/>
      <c r="P211" s="58"/>
      <c r="Q211" s="3" t="s">
        <v>185</v>
      </c>
    </row>
    <row r="212">
      <c r="A212" s="9">
        <v>16.0</v>
      </c>
      <c r="B212" s="3" t="s">
        <v>800</v>
      </c>
      <c r="C212" s="3">
        <v>2023.0</v>
      </c>
      <c r="D212" s="3" t="s">
        <v>801</v>
      </c>
      <c r="E212" s="36" t="s">
        <v>802</v>
      </c>
      <c r="F212" s="60"/>
      <c r="G212" s="61" t="s">
        <v>11</v>
      </c>
      <c r="H212" s="61" t="s">
        <v>11</v>
      </c>
      <c r="I212" s="61"/>
      <c r="J212" s="60"/>
      <c r="K212" s="58"/>
      <c r="L212" s="59"/>
      <c r="M212" s="58"/>
      <c r="N212" s="58"/>
      <c r="O212" s="58"/>
      <c r="P212" s="58"/>
      <c r="Q212" s="3" t="s">
        <v>185</v>
      </c>
    </row>
    <row r="213">
      <c r="A213" s="9">
        <v>16.0</v>
      </c>
      <c r="B213" s="3" t="s">
        <v>803</v>
      </c>
      <c r="C213" s="3">
        <v>2016.0</v>
      </c>
      <c r="D213" s="3" t="s">
        <v>804</v>
      </c>
      <c r="E213" s="36" t="s">
        <v>805</v>
      </c>
      <c r="F213" s="60"/>
      <c r="G213" s="60"/>
      <c r="H213" s="60"/>
      <c r="I213" s="60"/>
      <c r="J213" s="60"/>
      <c r="K213" s="58"/>
      <c r="L213" s="59" t="s">
        <v>11</v>
      </c>
      <c r="M213" s="58"/>
      <c r="N213" s="58"/>
      <c r="O213" s="58"/>
      <c r="P213" s="58"/>
      <c r="Q213" s="3" t="s">
        <v>185</v>
      </c>
    </row>
    <row r="214">
      <c r="A214" s="9">
        <v>38.0</v>
      </c>
      <c r="B214" s="3" t="s">
        <v>806</v>
      </c>
      <c r="C214" s="3">
        <v>2014.0</v>
      </c>
      <c r="D214" s="3" t="s">
        <v>807</v>
      </c>
      <c r="E214" s="35" t="s">
        <v>808</v>
      </c>
      <c r="F214" s="61" t="s">
        <v>11</v>
      </c>
      <c r="G214" s="61"/>
      <c r="H214" s="60"/>
      <c r="I214" s="60"/>
      <c r="J214" s="60"/>
      <c r="K214" s="58"/>
      <c r="L214" s="59"/>
      <c r="M214" s="58"/>
      <c r="N214" s="58"/>
      <c r="O214" s="58"/>
      <c r="P214" s="58"/>
      <c r="Q214" s="3" t="s">
        <v>185</v>
      </c>
      <c r="R214" s="3" t="s">
        <v>809</v>
      </c>
    </row>
    <row r="215" ht="18.0" customHeight="1">
      <c r="A215" s="9">
        <v>38.0</v>
      </c>
      <c r="B215" s="3" t="s">
        <v>810</v>
      </c>
      <c r="C215" s="3">
        <v>2013.0</v>
      </c>
      <c r="D215" s="3" t="s">
        <v>811</v>
      </c>
      <c r="E215" s="35" t="s">
        <v>812</v>
      </c>
      <c r="F215" s="61" t="s">
        <v>11</v>
      </c>
      <c r="G215" s="61" t="s">
        <v>11</v>
      </c>
      <c r="H215" s="60"/>
      <c r="I215" s="60"/>
      <c r="J215" s="60"/>
      <c r="K215" s="58"/>
      <c r="L215" s="59"/>
      <c r="M215" s="58"/>
      <c r="N215" s="58"/>
      <c r="O215" s="58"/>
      <c r="P215" s="58"/>
      <c r="Q215" s="3" t="s">
        <v>185</v>
      </c>
      <c r="R215" s="3" t="s">
        <v>813</v>
      </c>
    </row>
    <row r="216">
      <c r="A216" s="9">
        <v>38.0</v>
      </c>
      <c r="B216" s="3" t="s">
        <v>814</v>
      </c>
      <c r="C216" s="3">
        <v>2013.0</v>
      </c>
      <c r="D216" s="3" t="s">
        <v>815</v>
      </c>
      <c r="E216" s="35" t="s">
        <v>816</v>
      </c>
      <c r="F216" s="61" t="s">
        <v>11</v>
      </c>
      <c r="G216" s="61"/>
      <c r="H216" s="60"/>
      <c r="I216" s="60"/>
      <c r="J216" s="60"/>
      <c r="K216" s="58"/>
      <c r="L216" s="59"/>
      <c r="M216" s="58"/>
      <c r="N216" s="58"/>
      <c r="O216" s="58"/>
      <c r="P216" s="58"/>
      <c r="Q216" s="3" t="s">
        <v>185</v>
      </c>
      <c r="R216" s="3"/>
    </row>
    <row r="217">
      <c r="A217" s="9">
        <v>38.0</v>
      </c>
      <c r="B217" s="3" t="s">
        <v>817</v>
      </c>
      <c r="C217" s="3">
        <v>2014.0</v>
      </c>
      <c r="D217" s="3" t="s">
        <v>818</v>
      </c>
      <c r="E217" s="35" t="s">
        <v>819</v>
      </c>
      <c r="F217" s="61" t="s">
        <v>11</v>
      </c>
      <c r="G217" s="61"/>
      <c r="H217" s="60"/>
      <c r="I217" s="60"/>
      <c r="J217" s="60"/>
      <c r="K217" s="58"/>
      <c r="L217" s="59"/>
      <c r="M217" s="58"/>
      <c r="N217" s="58"/>
      <c r="O217" s="58"/>
      <c r="P217" s="58"/>
      <c r="Q217" s="3" t="s">
        <v>185</v>
      </c>
      <c r="R217" s="3"/>
    </row>
    <row r="218">
      <c r="A218" s="9">
        <v>38.0</v>
      </c>
      <c r="B218" s="3" t="s">
        <v>820</v>
      </c>
      <c r="C218" s="3">
        <v>2014.0</v>
      </c>
      <c r="D218" s="3" t="s">
        <v>821</v>
      </c>
      <c r="E218" s="35" t="s">
        <v>822</v>
      </c>
      <c r="F218" s="61" t="s">
        <v>11</v>
      </c>
      <c r="G218" s="61"/>
      <c r="H218" s="60"/>
      <c r="I218" s="60"/>
      <c r="J218" s="60"/>
      <c r="K218" s="58"/>
      <c r="L218" s="59"/>
      <c r="M218" s="58"/>
      <c r="N218" s="58"/>
      <c r="O218" s="58"/>
      <c r="P218" s="58"/>
      <c r="Q218" s="3" t="s">
        <v>185</v>
      </c>
      <c r="R218" s="3" t="s">
        <v>823</v>
      </c>
    </row>
    <row r="219">
      <c r="A219" s="3">
        <v>38.0</v>
      </c>
      <c r="B219" s="3" t="s">
        <v>824</v>
      </c>
      <c r="C219" s="3">
        <v>2013.0</v>
      </c>
      <c r="D219" s="3" t="s">
        <v>825</v>
      </c>
      <c r="E219" s="68" t="s">
        <v>826</v>
      </c>
      <c r="F219" s="61" t="s">
        <v>11</v>
      </c>
      <c r="G219" s="61"/>
      <c r="H219" s="60"/>
      <c r="I219" s="60"/>
      <c r="J219" s="60"/>
      <c r="K219" s="58"/>
      <c r="L219" s="59"/>
      <c r="M219" s="58"/>
      <c r="N219" s="58"/>
      <c r="O219" s="58"/>
      <c r="P219" s="58"/>
      <c r="Q219" s="3" t="s">
        <v>185</v>
      </c>
    </row>
    <row r="220">
      <c r="A220" s="3">
        <v>38.0</v>
      </c>
      <c r="B220" s="3" t="s">
        <v>827</v>
      </c>
      <c r="C220" s="3">
        <v>2014.0</v>
      </c>
      <c r="D220" s="3" t="s">
        <v>828</v>
      </c>
      <c r="E220" s="68" t="s">
        <v>829</v>
      </c>
      <c r="F220" s="61"/>
      <c r="G220" s="61"/>
      <c r="H220" s="60"/>
      <c r="I220" s="61" t="s">
        <v>11</v>
      </c>
      <c r="J220" s="60"/>
      <c r="K220" s="58"/>
      <c r="L220" s="59"/>
      <c r="M220" s="58"/>
      <c r="N220" s="58"/>
      <c r="O220" s="58"/>
      <c r="P220" s="58"/>
      <c r="Q220" s="3" t="s">
        <v>185</v>
      </c>
    </row>
    <row r="221">
      <c r="A221" s="3">
        <v>38.0</v>
      </c>
      <c r="B221" s="3" t="s">
        <v>830</v>
      </c>
      <c r="C221" s="3">
        <v>2012.0</v>
      </c>
      <c r="D221" s="3" t="s">
        <v>831</v>
      </c>
      <c r="E221" s="68" t="s">
        <v>832</v>
      </c>
      <c r="F221" s="61" t="s">
        <v>11</v>
      </c>
      <c r="G221" s="61"/>
      <c r="H221" s="60"/>
      <c r="I221" s="60"/>
      <c r="J221" s="60"/>
      <c r="K221" s="58"/>
      <c r="L221" s="59"/>
      <c r="M221" s="58"/>
      <c r="N221" s="58"/>
      <c r="O221" s="58"/>
      <c r="P221" s="58"/>
      <c r="Q221" s="3" t="s">
        <v>185</v>
      </c>
    </row>
    <row r="222">
      <c r="A222" s="3">
        <v>38.0</v>
      </c>
      <c r="B222" s="3" t="s">
        <v>833</v>
      </c>
      <c r="C222" s="3">
        <v>2013.0</v>
      </c>
      <c r="D222" s="3" t="s">
        <v>834</v>
      </c>
      <c r="E222" s="68" t="s">
        <v>835</v>
      </c>
      <c r="F222" s="61" t="s">
        <v>11</v>
      </c>
      <c r="G222" s="61"/>
      <c r="H222" s="60"/>
      <c r="I222" s="60"/>
      <c r="J222" s="60"/>
      <c r="K222" s="58"/>
      <c r="L222" s="59"/>
      <c r="M222" s="58"/>
      <c r="N222" s="58"/>
      <c r="O222" s="58"/>
      <c r="P222" s="58"/>
      <c r="Q222" s="3" t="s">
        <v>185</v>
      </c>
      <c r="R222" s="3" t="s">
        <v>836</v>
      </c>
    </row>
    <row r="223">
      <c r="A223" s="3">
        <v>38.0</v>
      </c>
      <c r="B223" s="3" t="s">
        <v>837</v>
      </c>
      <c r="C223" s="3">
        <v>2014.0</v>
      </c>
      <c r="D223" s="3" t="s">
        <v>838</v>
      </c>
      <c r="E223" s="68" t="s">
        <v>839</v>
      </c>
      <c r="F223" s="61"/>
      <c r="G223" s="61"/>
      <c r="H223" s="60"/>
      <c r="I223" s="61" t="s">
        <v>11</v>
      </c>
      <c r="J223" s="60"/>
      <c r="K223" s="58"/>
      <c r="L223" s="59"/>
      <c r="M223" s="58"/>
      <c r="N223" s="58"/>
      <c r="O223" s="58"/>
      <c r="P223" s="58"/>
      <c r="Q223" s="3" t="s">
        <v>185</v>
      </c>
    </row>
    <row r="224">
      <c r="A224" s="3">
        <v>38.0</v>
      </c>
      <c r="B224" s="3" t="s">
        <v>840</v>
      </c>
      <c r="C224" s="3">
        <v>2015.0</v>
      </c>
      <c r="D224" s="3" t="s">
        <v>841</v>
      </c>
      <c r="E224" s="45" t="s">
        <v>842</v>
      </c>
      <c r="F224" s="61" t="s">
        <v>11</v>
      </c>
      <c r="G224" s="61"/>
      <c r="H224" s="60"/>
      <c r="I224" s="60"/>
      <c r="J224" s="60"/>
      <c r="K224" s="58"/>
      <c r="L224" s="59"/>
      <c r="M224" s="58"/>
      <c r="N224" s="58"/>
      <c r="O224" s="58"/>
      <c r="P224" s="58"/>
      <c r="Q224" s="3" t="s">
        <v>185</v>
      </c>
    </row>
    <row r="225">
      <c r="A225" s="3">
        <v>38.0</v>
      </c>
      <c r="B225" s="3" t="s">
        <v>843</v>
      </c>
      <c r="C225" s="3">
        <v>2013.0</v>
      </c>
      <c r="D225" s="3" t="s">
        <v>844</v>
      </c>
      <c r="E225" s="45" t="s">
        <v>845</v>
      </c>
      <c r="F225" s="61" t="s">
        <v>11</v>
      </c>
      <c r="G225" s="61"/>
      <c r="H225" s="60"/>
      <c r="I225" s="60"/>
      <c r="J225" s="60"/>
      <c r="K225" s="58"/>
      <c r="L225" s="59"/>
      <c r="M225" s="58"/>
      <c r="N225" s="58"/>
      <c r="O225" s="58"/>
      <c r="P225" s="58"/>
      <c r="Q225" s="3" t="s">
        <v>185</v>
      </c>
    </row>
    <row r="226">
      <c r="A226" s="3">
        <v>38.0</v>
      </c>
      <c r="B226" s="3" t="s">
        <v>846</v>
      </c>
      <c r="C226" s="3">
        <v>2015.0</v>
      </c>
      <c r="D226" s="3" t="s">
        <v>847</v>
      </c>
      <c r="E226" s="45" t="s">
        <v>848</v>
      </c>
      <c r="F226" s="61"/>
      <c r="G226" s="61"/>
      <c r="H226" s="60"/>
      <c r="I226" s="60"/>
      <c r="J226" s="60"/>
      <c r="K226" s="58"/>
      <c r="L226" s="59"/>
      <c r="M226" s="58"/>
      <c r="N226" s="58"/>
      <c r="O226" s="58"/>
      <c r="P226" s="59" t="s">
        <v>11</v>
      </c>
      <c r="Q226" s="3" t="s">
        <v>185</v>
      </c>
    </row>
    <row r="227">
      <c r="A227" s="3">
        <v>38.0</v>
      </c>
      <c r="B227" s="3" t="s">
        <v>849</v>
      </c>
      <c r="C227" s="3">
        <v>2015.0</v>
      </c>
      <c r="D227" s="3" t="s">
        <v>850</v>
      </c>
      <c r="E227" s="45" t="s">
        <v>851</v>
      </c>
      <c r="F227" s="61"/>
      <c r="G227" s="61"/>
      <c r="H227" s="60"/>
      <c r="I227" s="60"/>
      <c r="J227" s="60"/>
      <c r="K227" s="58"/>
      <c r="L227" s="59"/>
      <c r="M227" s="58"/>
      <c r="N227" s="58"/>
      <c r="O227" s="58"/>
      <c r="P227" s="59" t="s">
        <v>11</v>
      </c>
      <c r="Q227" s="3" t="s">
        <v>185</v>
      </c>
    </row>
    <row r="228">
      <c r="A228" s="3">
        <v>38.0</v>
      </c>
      <c r="B228" s="3" t="s">
        <v>852</v>
      </c>
      <c r="C228" s="3">
        <v>2014.0</v>
      </c>
      <c r="D228" s="3" t="s">
        <v>853</v>
      </c>
      <c r="E228" s="45" t="s">
        <v>854</v>
      </c>
      <c r="F228" s="61" t="s">
        <v>11</v>
      </c>
      <c r="G228" s="61"/>
      <c r="H228" s="60"/>
      <c r="I228" s="60"/>
      <c r="J228" s="60"/>
      <c r="K228" s="58"/>
      <c r="L228" s="59"/>
      <c r="M228" s="58"/>
      <c r="N228" s="58"/>
      <c r="O228" s="58"/>
      <c r="P228" s="58"/>
      <c r="Q228" s="3" t="s">
        <v>185</v>
      </c>
      <c r="R228" s="3" t="s">
        <v>823</v>
      </c>
    </row>
    <row r="229">
      <c r="A229" s="3">
        <v>38.0</v>
      </c>
      <c r="B229" s="3" t="s">
        <v>855</v>
      </c>
      <c r="C229" s="3">
        <v>2012.0</v>
      </c>
      <c r="D229" s="3" t="s">
        <v>847</v>
      </c>
      <c r="E229" s="45" t="s">
        <v>856</v>
      </c>
      <c r="F229" s="61"/>
      <c r="G229" s="61"/>
      <c r="H229" s="60"/>
      <c r="I229" s="60"/>
      <c r="J229" s="60"/>
      <c r="K229" s="58"/>
      <c r="L229" s="59"/>
      <c r="M229" s="58"/>
      <c r="N229" s="58"/>
      <c r="O229" s="58"/>
      <c r="P229" s="59" t="s">
        <v>11</v>
      </c>
      <c r="Q229" s="3" t="s">
        <v>185</v>
      </c>
    </row>
    <row r="230">
      <c r="A230" s="3">
        <v>38.0</v>
      </c>
      <c r="B230" s="3" t="s">
        <v>857</v>
      </c>
      <c r="C230" s="3">
        <v>2014.0</v>
      </c>
      <c r="D230" s="3" t="s">
        <v>858</v>
      </c>
      <c r="E230" s="45" t="s">
        <v>859</v>
      </c>
      <c r="F230" s="61"/>
      <c r="G230" s="61"/>
      <c r="H230" s="60"/>
      <c r="I230" s="60"/>
      <c r="J230" s="60"/>
      <c r="K230" s="58"/>
      <c r="L230" s="59"/>
      <c r="M230" s="58"/>
      <c r="N230" s="58"/>
      <c r="O230" s="58"/>
      <c r="P230" s="59" t="s">
        <v>11</v>
      </c>
      <c r="Q230" s="3" t="s">
        <v>185</v>
      </c>
    </row>
    <row r="231">
      <c r="A231" s="3">
        <v>39.0</v>
      </c>
      <c r="B231" s="3" t="s">
        <v>860</v>
      </c>
      <c r="C231" s="3">
        <v>2022.0</v>
      </c>
      <c r="D231" s="3" t="s">
        <v>861</v>
      </c>
      <c r="E231" s="45" t="s">
        <v>862</v>
      </c>
      <c r="F231" s="61"/>
      <c r="G231" s="61"/>
      <c r="H231" s="60"/>
      <c r="I231" s="60"/>
      <c r="J231" s="60"/>
      <c r="K231" s="58"/>
      <c r="L231" s="59"/>
      <c r="M231" s="58"/>
      <c r="N231" s="59" t="s">
        <v>11</v>
      </c>
      <c r="O231" s="58"/>
      <c r="P231" s="59"/>
      <c r="Q231" s="3" t="s">
        <v>185</v>
      </c>
    </row>
    <row r="232">
      <c r="A232" s="3">
        <v>39.0</v>
      </c>
      <c r="B232" s="3" t="s">
        <v>863</v>
      </c>
      <c r="C232" s="3">
        <v>2021.0</v>
      </c>
      <c r="D232" s="3" t="s">
        <v>864</v>
      </c>
      <c r="E232" s="45" t="s">
        <v>865</v>
      </c>
      <c r="F232" s="61"/>
      <c r="G232" s="61"/>
      <c r="H232" s="60"/>
      <c r="I232" s="60"/>
      <c r="J232" s="60"/>
      <c r="K232" s="58"/>
      <c r="L232" s="59"/>
      <c r="M232" s="58"/>
      <c r="N232" s="59" t="s">
        <v>11</v>
      </c>
      <c r="O232" s="58"/>
      <c r="P232" s="59"/>
      <c r="Q232" s="3" t="s">
        <v>185</v>
      </c>
    </row>
    <row r="233">
      <c r="A233" s="3">
        <v>39.0</v>
      </c>
      <c r="B233" s="3" t="s">
        <v>866</v>
      </c>
      <c r="C233" s="3">
        <v>2016.0</v>
      </c>
      <c r="D233" s="3" t="s">
        <v>867</v>
      </c>
      <c r="E233" s="45" t="s">
        <v>868</v>
      </c>
      <c r="F233" s="61"/>
      <c r="G233" s="61"/>
      <c r="H233" s="60"/>
      <c r="I233" s="60"/>
      <c r="J233" s="60"/>
      <c r="K233" s="58"/>
      <c r="L233" s="59"/>
      <c r="M233" s="58"/>
      <c r="N233" s="59" t="s">
        <v>11</v>
      </c>
      <c r="O233" s="58"/>
      <c r="P233" s="59"/>
      <c r="Q233" s="3" t="s">
        <v>185</v>
      </c>
    </row>
    <row r="234">
      <c r="A234" s="3">
        <v>39.0</v>
      </c>
      <c r="B234" s="3" t="s">
        <v>869</v>
      </c>
      <c r="C234" s="3">
        <v>2019.0</v>
      </c>
      <c r="D234" s="3" t="s">
        <v>870</v>
      </c>
      <c r="E234" s="45" t="s">
        <v>871</v>
      </c>
      <c r="F234" s="61"/>
      <c r="G234" s="61"/>
      <c r="H234" s="60"/>
      <c r="I234" s="60"/>
      <c r="J234" s="60"/>
      <c r="K234" s="58"/>
      <c r="L234" s="59"/>
      <c r="M234" s="58"/>
      <c r="N234" s="59" t="s">
        <v>11</v>
      </c>
      <c r="O234" s="58"/>
      <c r="P234" s="59"/>
      <c r="Q234" s="3" t="s">
        <v>185</v>
      </c>
    </row>
    <row r="235">
      <c r="A235" s="3">
        <v>39.0</v>
      </c>
      <c r="B235" s="3" t="s">
        <v>872</v>
      </c>
      <c r="C235" s="3">
        <v>2019.0</v>
      </c>
      <c r="D235" s="3" t="s">
        <v>873</v>
      </c>
      <c r="E235" s="45" t="s">
        <v>874</v>
      </c>
      <c r="F235" s="61"/>
      <c r="G235" s="61"/>
      <c r="H235" s="60"/>
      <c r="I235" s="60"/>
      <c r="J235" s="60"/>
      <c r="K235" s="58"/>
      <c r="L235" s="59"/>
      <c r="M235" s="58"/>
      <c r="N235" s="59" t="s">
        <v>11</v>
      </c>
      <c r="O235" s="58"/>
      <c r="P235" s="59"/>
      <c r="Q235" s="3" t="s">
        <v>185</v>
      </c>
    </row>
    <row r="236">
      <c r="A236" s="3">
        <v>39.0</v>
      </c>
      <c r="B236" s="3" t="s">
        <v>875</v>
      </c>
      <c r="C236" s="3">
        <v>2024.0</v>
      </c>
      <c r="D236" s="3" t="s">
        <v>876</v>
      </c>
      <c r="E236" s="45" t="s">
        <v>877</v>
      </c>
      <c r="F236" s="61"/>
      <c r="G236" s="61" t="s">
        <v>324</v>
      </c>
      <c r="H236" s="60"/>
      <c r="I236" s="60"/>
      <c r="J236" s="60"/>
      <c r="K236" s="59" t="s">
        <v>11</v>
      </c>
      <c r="L236" s="59"/>
      <c r="M236" s="58"/>
      <c r="N236" s="58"/>
      <c r="O236" s="58"/>
      <c r="P236" s="59"/>
      <c r="Q236" s="3" t="s">
        <v>185</v>
      </c>
    </row>
    <row r="237">
      <c r="A237" s="3">
        <v>39.0</v>
      </c>
      <c r="B237" s="3" t="s">
        <v>878</v>
      </c>
      <c r="C237" s="3">
        <v>2020.0</v>
      </c>
      <c r="D237" s="3" t="s">
        <v>879</v>
      </c>
      <c r="E237" s="35" t="s">
        <v>880</v>
      </c>
      <c r="F237" s="61" t="s">
        <v>11</v>
      </c>
      <c r="G237" s="61"/>
      <c r="H237" s="60"/>
      <c r="I237" s="60"/>
      <c r="J237" s="60"/>
      <c r="K237" s="58"/>
      <c r="L237" s="59"/>
      <c r="M237" s="58"/>
      <c r="N237" s="58"/>
      <c r="O237" s="58"/>
      <c r="P237" s="59"/>
      <c r="Q237" s="3" t="s">
        <v>185</v>
      </c>
      <c r="R237" s="3" t="s">
        <v>881</v>
      </c>
    </row>
    <row r="238">
      <c r="A238" s="3">
        <v>39.0</v>
      </c>
      <c r="B238" s="3" t="s">
        <v>882</v>
      </c>
      <c r="C238" s="3">
        <v>2024.0</v>
      </c>
      <c r="D238" s="3" t="s">
        <v>883</v>
      </c>
      <c r="E238" s="35" t="s">
        <v>884</v>
      </c>
      <c r="F238" s="61"/>
      <c r="G238" s="61"/>
      <c r="H238" s="60"/>
      <c r="I238" s="60"/>
      <c r="J238" s="61" t="s">
        <v>11</v>
      </c>
      <c r="K238" s="58"/>
      <c r="L238" s="59"/>
      <c r="M238" s="58"/>
      <c r="N238" s="58"/>
      <c r="O238" s="58"/>
      <c r="P238" s="59"/>
      <c r="Q238" s="3" t="s">
        <v>185</v>
      </c>
    </row>
    <row r="239">
      <c r="A239" s="3">
        <v>39.0</v>
      </c>
      <c r="B239" s="3" t="s">
        <v>885</v>
      </c>
      <c r="C239" s="3">
        <v>2022.0</v>
      </c>
      <c r="D239" s="3" t="s">
        <v>879</v>
      </c>
      <c r="E239" s="35" t="s">
        <v>886</v>
      </c>
      <c r="F239" s="61" t="s">
        <v>11</v>
      </c>
      <c r="G239" s="61"/>
      <c r="H239" s="60"/>
      <c r="I239" s="60"/>
      <c r="J239" s="60"/>
      <c r="K239" s="58"/>
      <c r="L239" s="59"/>
      <c r="M239" s="58"/>
      <c r="N239" s="58"/>
      <c r="O239" s="58"/>
      <c r="P239" s="59"/>
      <c r="Q239" s="3" t="s">
        <v>185</v>
      </c>
    </row>
    <row r="240">
      <c r="A240" s="3">
        <v>39.0</v>
      </c>
      <c r="B240" s="3" t="s">
        <v>887</v>
      </c>
      <c r="C240" s="3">
        <v>2024.0</v>
      </c>
      <c r="D240" s="3" t="s">
        <v>888</v>
      </c>
      <c r="E240" s="45" t="s">
        <v>889</v>
      </c>
      <c r="F240" s="61" t="s">
        <v>11</v>
      </c>
      <c r="G240" s="61" t="s">
        <v>11</v>
      </c>
      <c r="H240" s="60"/>
      <c r="I240" s="60"/>
      <c r="J240" s="60"/>
      <c r="K240" s="58"/>
      <c r="L240" s="59"/>
      <c r="M240" s="58"/>
      <c r="N240" s="58"/>
      <c r="O240" s="58"/>
      <c r="P240" s="59"/>
      <c r="Q240" s="3" t="s">
        <v>185</v>
      </c>
      <c r="R240" s="3" t="s">
        <v>890</v>
      </c>
    </row>
    <row r="241">
      <c r="A241" s="3">
        <v>39.0</v>
      </c>
      <c r="B241" s="3" t="s">
        <v>891</v>
      </c>
      <c r="C241" s="3">
        <v>2015.0</v>
      </c>
      <c r="D241" s="3" t="s">
        <v>892</v>
      </c>
      <c r="E241" s="35" t="s">
        <v>893</v>
      </c>
      <c r="F241" s="61" t="s">
        <v>11</v>
      </c>
      <c r="G241" s="61"/>
      <c r="H241" s="60"/>
      <c r="I241" s="60"/>
      <c r="J241" s="60"/>
      <c r="K241" s="58"/>
      <c r="L241" s="59"/>
      <c r="M241" s="58"/>
      <c r="N241" s="58"/>
      <c r="O241" s="58"/>
      <c r="P241" s="59"/>
      <c r="Q241" s="3" t="s">
        <v>185</v>
      </c>
    </row>
    <row r="242">
      <c r="A242" s="3">
        <v>39.0</v>
      </c>
      <c r="B242" s="3" t="s">
        <v>894</v>
      </c>
      <c r="C242" s="3">
        <v>2022.0</v>
      </c>
      <c r="D242" s="3" t="s">
        <v>895</v>
      </c>
      <c r="E242" s="35" t="s">
        <v>896</v>
      </c>
      <c r="F242" s="61" t="s">
        <v>11</v>
      </c>
      <c r="G242" s="61"/>
      <c r="H242" s="60"/>
      <c r="I242" s="60"/>
      <c r="J242" s="60"/>
      <c r="K242" s="58"/>
      <c r="L242" s="59"/>
      <c r="M242" s="58"/>
      <c r="N242" s="58"/>
      <c r="O242" s="58"/>
      <c r="P242" s="59"/>
      <c r="Q242" s="3" t="s">
        <v>185</v>
      </c>
    </row>
    <row r="243">
      <c r="A243" s="3">
        <v>39.0</v>
      </c>
      <c r="B243" s="3" t="s">
        <v>897</v>
      </c>
      <c r="C243" s="3">
        <v>2016.0</v>
      </c>
      <c r="D243" s="3" t="s">
        <v>898</v>
      </c>
      <c r="E243" s="35" t="s">
        <v>899</v>
      </c>
      <c r="F243" s="61"/>
      <c r="G243" s="61"/>
      <c r="H243" s="61" t="s">
        <v>11</v>
      </c>
      <c r="I243" s="60"/>
      <c r="J243" s="60"/>
      <c r="K243" s="58"/>
      <c r="L243" s="59"/>
      <c r="M243" s="58"/>
      <c r="N243" s="58"/>
      <c r="O243" s="58"/>
      <c r="P243" s="59"/>
      <c r="Q243" s="3" t="s">
        <v>185</v>
      </c>
    </row>
    <row r="244">
      <c r="A244" s="3">
        <v>39.0</v>
      </c>
      <c r="B244" s="3" t="s">
        <v>900</v>
      </c>
      <c r="C244" s="3">
        <v>2022.0</v>
      </c>
      <c r="D244" s="3" t="s">
        <v>901</v>
      </c>
      <c r="E244" s="35" t="s">
        <v>902</v>
      </c>
      <c r="F244" s="61" t="s">
        <v>11</v>
      </c>
      <c r="G244" s="61"/>
      <c r="H244" s="61" t="s">
        <v>11</v>
      </c>
      <c r="I244" s="60"/>
      <c r="J244" s="60"/>
      <c r="K244" s="58"/>
      <c r="L244" s="59"/>
      <c r="M244" s="58"/>
      <c r="N244" s="58"/>
      <c r="O244" s="58"/>
      <c r="P244" s="59"/>
      <c r="Q244" s="3" t="s">
        <v>185</v>
      </c>
    </row>
    <row r="245">
      <c r="A245" s="3">
        <v>39.0</v>
      </c>
      <c r="B245" s="3" t="s">
        <v>903</v>
      </c>
      <c r="C245" s="3">
        <v>2024.0</v>
      </c>
      <c r="D245" s="3" t="s">
        <v>904</v>
      </c>
      <c r="E245" s="35" t="s">
        <v>905</v>
      </c>
      <c r="F245" s="61" t="s">
        <v>11</v>
      </c>
      <c r="G245" s="61"/>
      <c r="H245" s="60"/>
      <c r="I245" s="60"/>
      <c r="J245" s="60"/>
      <c r="K245" s="58"/>
      <c r="L245" s="59"/>
      <c r="M245" s="58"/>
      <c r="N245" s="58"/>
      <c r="O245" s="58"/>
      <c r="P245" s="59"/>
      <c r="Q245" s="3" t="s">
        <v>185</v>
      </c>
    </row>
    <row r="246">
      <c r="A246" s="3">
        <v>39.0</v>
      </c>
      <c r="B246" s="3" t="s">
        <v>906</v>
      </c>
      <c r="C246" s="3">
        <v>2019.0</v>
      </c>
      <c r="D246" s="3" t="s">
        <v>907</v>
      </c>
      <c r="E246" s="45" t="s">
        <v>908</v>
      </c>
      <c r="F246" s="61" t="s">
        <v>11</v>
      </c>
      <c r="G246" s="61"/>
      <c r="H246" s="60"/>
      <c r="I246" s="60"/>
      <c r="J246" s="60"/>
      <c r="K246" s="58"/>
      <c r="L246" s="59"/>
      <c r="M246" s="58"/>
      <c r="N246" s="58"/>
      <c r="O246" s="58"/>
      <c r="P246" s="59"/>
      <c r="Q246" s="3" t="s">
        <v>185</v>
      </c>
    </row>
    <row r="247">
      <c r="A247" s="3">
        <v>39.0</v>
      </c>
      <c r="B247" s="3" t="s">
        <v>909</v>
      </c>
      <c r="C247" s="3">
        <v>2016.0</v>
      </c>
      <c r="D247" s="3" t="s">
        <v>910</v>
      </c>
      <c r="E247" s="35" t="s">
        <v>911</v>
      </c>
      <c r="F247" s="61" t="s">
        <v>11</v>
      </c>
      <c r="G247" s="61"/>
      <c r="H247" s="60"/>
      <c r="I247" s="60"/>
      <c r="J247" s="60"/>
      <c r="K247" s="58"/>
      <c r="L247" s="59"/>
      <c r="M247" s="58"/>
      <c r="N247" s="58"/>
      <c r="O247" s="58"/>
      <c r="P247" s="59"/>
      <c r="Q247" s="3" t="s">
        <v>185</v>
      </c>
    </row>
    <row r="248">
      <c r="A248" s="3">
        <v>39.0</v>
      </c>
      <c r="B248" s="3" t="s">
        <v>912</v>
      </c>
      <c r="C248" s="3">
        <v>2015.0</v>
      </c>
      <c r="D248" s="3" t="s">
        <v>913</v>
      </c>
      <c r="E248" s="35" t="s">
        <v>914</v>
      </c>
      <c r="F248" s="61" t="s">
        <v>11</v>
      </c>
      <c r="G248" s="61"/>
      <c r="H248" s="60"/>
      <c r="I248" s="60"/>
      <c r="J248" s="60"/>
      <c r="K248" s="58"/>
      <c r="L248" s="59"/>
      <c r="M248" s="58"/>
      <c r="N248" s="58"/>
      <c r="O248" s="58"/>
      <c r="P248" s="59"/>
      <c r="Q248" s="3" t="s">
        <v>185</v>
      </c>
    </row>
    <row r="249">
      <c r="A249" s="3">
        <v>39.0</v>
      </c>
      <c r="B249" s="3" t="s">
        <v>915</v>
      </c>
      <c r="C249" s="3">
        <v>2015.0</v>
      </c>
      <c r="D249" s="3" t="s">
        <v>913</v>
      </c>
      <c r="E249" s="35" t="s">
        <v>916</v>
      </c>
      <c r="F249" s="61" t="s">
        <v>11</v>
      </c>
      <c r="G249" s="61"/>
      <c r="H249" s="60"/>
      <c r="I249" s="60"/>
      <c r="J249" s="60"/>
      <c r="K249" s="58"/>
      <c r="L249" s="59"/>
      <c r="M249" s="58"/>
      <c r="N249" s="58"/>
      <c r="O249" s="58"/>
      <c r="P249" s="59"/>
      <c r="Q249" s="3" t="s">
        <v>185</v>
      </c>
    </row>
    <row r="250">
      <c r="A250" s="3">
        <v>39.0</v>
      </c>
      <c r="B250" s="3" t="s">
        <v>917</v>
      </c>
      <c r="C250" s="3">
        <v>2014.0</v>
      </c>
      <c r="D250" s="3" t="s">
        <v>918</v>
      </c>
      <c r="E250" s="35" t="s">
        <v>919</v>
      </c>
      <c r="F250" s="61" t="s">
        <v>11</v>
      </c>
      <c r="G250" s="61"/>
      <c r="H250" s="60"/>
      <c r="I250" s="60"/>
      <c r="J250" s="60"/>
      <c r="K250" s="58"/>
      <c r="L250" s="59"/>
      <c r="M250" s="58"/>
      <c r="N250" s="58"/>
      <c r="O250" s="58"/>
      <c r="P250" s="59"/>
      <c r="Q250" s="3" t="s">
        <v>185</v>
      </c>
    </row>
    <row r="251">
      <c r="A251" s="3">
        <v>39.0</v>
      </c>
      <c r="B251" s="3" t="s">
        <v>920</v>
      </c>
      <c r="C251" s="3">
        <v>2021.0</v>
      </c>
      <c r="D251" s="3" t="s">
        <v>921</v>
      </c>
      <c r="E251" s="45" t="s">
        <v>922</v>
      </c>
      <c r="F251" s="61"/>
      <c r="G251" s="61"/>
      <c r="H251" s="60"/>
      <c r="I251" s="60"/>
      <c r="J251" s="60"/>
      <c r="K251" s="58"/>
      <c r="L251" s="59"/>
      <c r="M251" s="58"/>
      <c r="N251" s="58"/>
      <c r="O251" s="58"/>
      <c r="P251" s="59" t="s">
        <v>11</v>
      </c>
      <c r="Q251" s="3" t="s">
        <v>185</v>
      </c>
    </row>
    <row r="252">
      <c r="A252" s="3">
        <v>39.0</v>
      </c>
      <c r="B252" s="3" t="s">
        <v>923</v>
      </c>
      <c r="C252" s="3">
        <v>2018.0</v>
      </c>
      <c r="D252" s="3" t="s">
        <v>924</v>
      </c>
      <c r="E252" s="45" t="s">
        <v>925</v>
      </c>
      <c r="F252" s="61"/>
      <c r="G252" s="61"/>
      <c r="H252" s="60"/>
      <c r="I252" s="60"/>
      <c r="J252" s="60"/>
      <c r="K252" s="58"/>
      <c r="L252" s="59"/>
      <c r="M252" s="58"/>
      <c r="N252" s="58"/>
      <c r="O252" s="58"/>
      <c r="P252" s="59" t="s">
        <v>11</v>
      </c>
      <c r="Q252" s="3" t="s">
        <v>185</v>
      </c>
    </row>
    <row r="253">
      <c r="A253" s="3">
        <v>39.0</v>
      </c>
      <c r="B253" s="3" t="s">
        <v>926</v>
      </c>
      <c r="C253" s="3">
        <v>2010.0</v>
      </c>
      <c r="D253" s="3" t="s">
        <v>927</v>
      </c>
      <c r="E253" s="35" t="s">
        <v>928</v>
      </c>
      <c r="F253" s="61" t="s">
        <v>11</v>
      </c>
      <c r="G253" s="61"/>
      <c r="H253" s="60"/>
      <c r="I253" s="60"/>
      <c r="J253" s="60"/>
      <c r="K253" s="58"/>
      <c r="L253" s="59"/>
      <c r="M253" s="58"/>
      <c r="N253" s="58"/>
      <c r="O253" s="58"/>
      <c r="P253" s="59"/>
      <c r="Q253" s="3" t="s">
        <v>185</v>
      </c>
    </row>
    <row r="254">
      <c r="A254" s="3">
        <v>39.0</v>
      </c>
      <c r="B254" s="3" t="s">
        <v>929</v>
      </c>
      <c r="C254" s="3">
        <v>2015.0</v>
      </c>
      <c r="D254" s="3" t="s">
        <v>930</v>
      </c>
      <c r="E254" s="35" t="s">
        <v>931</v>
      </c>
      <c r="F254" s="61" t="s">
        <v>11</v>
      </c>
      <c r="G254" s="61"/>
      <c r="H254" s="60"/>
      <c r="I254" s="60"/>
      <c r="J254" s="60"/>
      <c r="K254" s="58"/>
      <c r="L254" s="59"/>
      <c r="M254" s="58"/>
      <c r="N254" s="58"/>
      <c r="O254" s="58"/>
      <c r="P254" s="59"/>
      <c r="Q254" s="3" t="s">
        <v>185</v>
      </c>
    </row>
    <row r="255">
      <c r="A255" s="3">
        <v>39.0</v>
      </c>
      <c r="B255" s="3" t="s">
        <v>932</v>
      </c>
      <c r="C255" s="3">
        <v>2018.0</v>
      </c>
      <c r="D255" s="3" t="s">
        <v>933</v>
      </c>
      <c r="E255" s="35" t="s">
        <v>934</v>
      </c>
      <c r="F255" s="61" t="s">
        <v>11</v>
      </c>
      <c r="G255" s="61"/>
      <c r="H255" s="60"/>
      <c r="I255" s="60"/>
      <c r="J255" s="60"/>
      <c r="K255" s="58"/>
      <c r="L255" s="59"/>
      <c r="M255" s="58"/>
      <c r="N255" s="58"/>
      <c r="O255" s="58"/>
      <c r="P255" s="59"/>
      <c r="Q255" s="3" t="s">
        <v>185</v>
      </c>
    </row>
    <row r="256">
      <c r="A256" s="3">
        <v>39.0</v>
      </c>
      <c r="B256" s="3" t="s">
        <v>935</v>
      </c>
      <c r="C256" s="3">
        <v>2016.0</v>
      </c>
      <c r="D256" s="3" t="s">
        <v>936</v>
      </c>
      <c r="E256" s="45" t="s">
        <v>937</v>
      </c>
      <c r="F256" s="61"/>
      <c r="G256" s="61"/>
      <c r="H256" s="60"/>
      <c r="I256" s="60"/>
      <c r="J256" s="60"/>
      <c r="K256" s="58"/>
      <c r="L256" s="59"/>
      <c r="M256" s="58"/>
      <c r="N256" s="58"/>
      <c r="O256" s="58"/>
      <c r="P256" s="59" t="s">
        <v>11</v>
      </c>
      <c r="Q256" s="3" t="s">
        <v>185</v>
      </c>
    </row>
    <row r="257">
      <c r="A257" s="3">
        <v>40.0</v>
      </c>
      <c r="B257" s="3" t="s">
        <v>128</v>
      </c>
      <c r="C257" s="3">
        <v>2022.0</v>
      </c>
      <c r="D257" s="3" t="s">
        <v>129</v>
      </c>
      <c r="E257" s="35" t="s">
        <v>130</v>
      </c>
      <c r="F257" s="61"/>
      <c r="G257" s="61"/>
      <c r="H257" s="60"/>
      <c r="I257" s="60"/>
      <c r="J257" s="60"/>
      <c r="K257" s="58"/>
      <c r="L257" s="59"/>
      <c r="M257" s="58"/>
      <c r="N257" s="58"/>
      <c r="O257" s="58"/>
      <c r="P257" s="59"/>
      <c r="Q257" s="3" t="s">
        <v>210</v>
      </c>
      <c r="R257" s="3" t="s">
        <v>938</v>
      </c>
    </row>
    <row r="258">
      <c r="A258" s="3">
        <v>40.0</v>
      </c>
      <c r="B258" s="3" t="s">
        <v>131</v>
      </c>
      <c r="C258" s="3">
        <v>2023.0</v>
      </c>
      <c r="D258" s="3" t="s">
        <v>132</v>
      </c>
      <c r="E258" s="35" t="s">
        <v>133</v>
      </c>
      <c r="F258" s="61"/>
      <c r="G258" s="61"/>
      <c r="H258" s="60"/>
      <c r="I258" s="60"/>
      <c r="J258" s="60"/>
      <c r="K258" s="58"/>
      <c r="L258" s="59"/>
      <c r="M258" s="58"/>
      <c r="N258" s="58"/>
      <c r="O258" s="58"/>
      <c r="P258" s="59"/>
      <c r="Q258" s="3" t="s">
        <v>210</v>
      </c>
      <c r="R258" s="3" t="s">
        <v>939</v>
      </c>
    </row>
    <row r="259">
      <c r="A259" s="3">
        <v>40.0</v>
      </c>
      <c r="B259" s="3" t="s">
        <v>134</v>
      </c>
      <c r="C259" s="3">
        <v>2022.0</v>
      </c>
      <c r="D259" s="3" t="s">
        <v>135</v>
      </c>
      <c r="E259" s="35" t="s">
        <v>136</v>
      </c>
      <c r="F259" s="61"/>
      <c r="G259" s="61"/>
      <c r="H259" s="60"/>
      <c r="I259" s="60"/>
      <c r="J259" s="60"/>
      <c r="K259" s="58"/>
      <c r="L259" s="59"/>
      <c r="M259" s="58"/>
      <c r="N259" s="58"/>
      <c r="O259" s="58"/>
      <c r="P259" s="59"/>
      <c r="Q259" s="3" t="s">
        <v>210</v>
      </c>
      <c r="R259" s="3" t="s">
        <v>940</v>
      </c>
    </row>
    <row r="260">
      <c r="A260" s="3">
        <v>40.0</v>
      </c>
      <c r="B260" s="3" t="s">
        <v>941</v>
      </c>
      <c r="C260" s="3">
        <v>2021.0</v>
      </c>
      <c r="D260" s="3" t="s">
        <v>942</v>
      </c>
      <c r="E260" s="45" t="s">
        <v>943</v>
      </c>
      <c r="F260" s="61"/>
      <c r="G260" s="61"/>
      <c r="H260" s="60"/>
      <c r="I260" s="60"/>
      <c r="J260" s="60"/>
      <c r="K260" s="58"/>
      <c r="L260" s="59"/>
      <c r="M260" s="58"/>
      <c r="N260" s="58"/>
      <c r="O260" s="58"/>
      <c r="P260" s="59" t="s">
        <v>11</v>
      </c>
      <c r="Q260" s="3" t="s">
        <v>185</v>
      </c>
    </row>
    <row r="261">
      <c r="A261" s="3">
        <v>41.0</v>
      </c>
      <c r="B261" s="3" t="s">
        <v>944</v>
      </c>
      <c r="C261" s="3">
        <v>2022.0</v>
      </c>
      <c r="D261" s="3" t="s">
        <v>945</v>
      </c>
      <c r="E261" s="45" t="s">
        <v>946</v>
      </c>
      <c r="F261" s="61"/>
      <c r="G261" s="61"/>
      <c r="H261" s="60"/>
      <c r="I261" s="60"/>
      <c r="J261" s="60"/>
      <c r="K261" s="58"/>
      <c r="L261" s="59"/>
      <c r="M261" s="58"/>
      <c r="N261" s="59" t="s">
        <v>11</v>
      </c>
      <c r="O261" s="58"/>
      <c r="P261" s="59"/>
      <c r="Q261" s="3" t="s">
        <v>185</v>
      </c>
    </row>
    <row r="262">
      <c r="A262" s="3">
        <v>41.0</v>
      </c>
      <c r="B262" s="3" t="s">
        <v>947</v>
      </c>
      <c r="C262" s="3">
        <v>2024.0</v>
      </c>
      <c r="D262" s="3" t="s">
        <v>948</v>
      </c>
      <c r="E262" s="45" t="s">
        <v>949</v>
      </c>
      <c r="F262" s="61"/>
      <c r="G262" s="61"/>
      <c r="H262" s="60"/>
      <c r="I262" s="60"/>
      <c r="J262" s="60"/>
      <c r="K262" s="58"/>
      <c r="L262" s="59"/>
      <c r="M262" s="58"/>
      <c r="N262" s="59" t="s">
        <v>11</v>
      </c>
      <c r="O262" s="58"/>
      <c r="P262" s="59"/>
      <c r="Q262" s="3" t="s">
        <v>185</v>
      </c>
      <c r="R262" s="3" t="s">
        <v>950</v>
      </c>
    </row>
    <row r="263">
      <c r="A263" s="3">
        <v>41.0</v>
      </c>
      <c r="B263" s="3" t="s">
        <v>951</v>
      </c>
      <c r="C263" s="3">
        <v>2023.0</v>
      </c>
      <c r="D263" s="3" t="s">
        <v>952</v>
      </c>
      <c r="E263" s="45" t="s">
        <v>953</v>
      </c>
      <c r="F263" s="61" t="s">
        <v>11</v>
      </c>
      <c r="G263" s="61"/>
      <c r="H263" s="60"/>
      <c r="I263" s="60"/>
      <c r="J263" s="60"/>
      <c r="K263" s="58"/>
      <c r="L263" s="59"/>
      <c r="M263" s="58"/>
      <c r="N263" s="58"/>
      <c r="O263" s="58"/>
      <c r="P263" s="59"/>
      <c r="Q263" s="3" t="s">
        <v>185</v>
      </c>
    </row>
    <row r="264">
      <c r="A264" s="3">
        <v>41.0</v>
      </c>
      <c r="B264" s="3" t="s">
        <v>954</v>
      </c>
      <c r="C264" s="3">
        <v>2024.0</v>
      </c>
      <c r="D264" s="3" t="s">
        <v>955</v>
      </c>
      <c r="E264" s="45" t="s">
        <v>956</v>
      </c>
      <c r="F264" s="61"/>
      <c r="G264" s="61" t="s">
        <v>324</v>
      </c>
      <c r="H264" s="60"/>
      <c r="I264" s="60"/>
      <c r="J264" s="60"/>
      <c r="K264" s="59" t="s">
        <v>11</v>
      </c>
      <c r="L264" s="59"/>
      <c r="M264" s="58"/>
      <c r="N264" s="58"/>
      <c r="O264" s="58"/>
      <c r="P264" s="59"/>
      <c r="Q264" s="3" t="s">
        <v>185</v>
      </c>
    </row>
    <row r="265">
      <c r="A265" s="3">
        <v>41.0</v>
      </c>
      <c r="B265" s="3" t="s">
        <v>957</v>
      </c>
      <c r="C265" s="3">
        <v>2018.0</v>
      </c>
      <c r="D265" s="3" t="s">
        <v>958</v>
      </c>
      <c r="E265" s="45" t="s">
        <v>959</v>
      </c>
      <c r="F265" s="61" t="s">
        <v>11</v>
      </c>
      <c r="G265" s="61"/>
      <c r="H265" s="60"/>
      <c r="I265" s="60"/>
      <c r="J265" s="60"/>
      <c r="K265" s="58"/>
      <c r="L265" s="59"/>
      <c r="M265" s="58"/>
      <c r="N265" s="58"/>
      <c r="O265" s="58"/>
      <c r="P265" s="59"/>
      <c r="Q265" s="3" t="s">
        <v>185</v>
      </c>
    </row>
    <row r="266">
      <c r="A266" s="3">
        <v>41.0</v>
      </c>
      <c r="B266" s="3" t="s">
        <v>960</v>
      </c>
      <c r="C266" s="3">
        <v>2024.0</v>
      </c>
      <c r="D266" s="3" t="s">
        <v>961</v>
      </c>
      <c r="E266" s="45" t="s">
        <v>962</v>
      </c>
      <c r="F266" s="61" t="s">
        <v>11</v>
      </c>
      <c r="G266" s="61"/>
      <c r="H266" s="60"/>
      <c r="I266" s="60"/>
      <c r="J266" s="60"/>
      <c r="K266" s="58"/>
      <c r="L266" s="59"/>
      <c r="M266" s="58"/>
      <c r="N266" s="58"/>
      <c r="O266" s="58"/>
      <c r="P266" s="59"/>
      <c r="Q266" s="3" t="s">
        <v>185</v>
      </c>
    </row>
    <row r="267">
      <c r="A267" s="3">
        <v>41.0</v>
      </c>
      <c r="B267" s="3" t="s">
        <v>963</v>
      </c>
      <c r="C267" s="3">
        <v>2018.0</v>
      </c>
      <c r="D267" s="3" t="s">
        <v>964</v>
      </c>
      <c r="E267" s="45" t="s">
        <v>965</v>
      </c>
      <c r="F267" s="61" t="s">
        <v>11</v>
      </c>
      <c r="G267" s="61"/>
      <c r="H267" s="60"/>
      <c r="I267" s="60"/>
      <c r="J267" s="60"/>
      <c r="K267" s="58"/>
      <c r="L267" s="59"/>
      <c r="M267" s="58"/>
      <c r="N267" s="58"/>
      <c r="O267" s="58"/>
      <c r="P267" s="59"/>
      <c r="Q267" s="3" t="s">
        <v>185</v>
      </c>
      <c r="R267" s="3" t="s">
        <v>966</v>
      </c>
    </row>
    <row r="268">
      <c r="A268" s="3">
        <v>41.0</v>
      </c>
      <c r="B268" s="3" t="s">
        <v>967</v>
      </c>
      <c r="C268" s="3">
        <v>2019.0</v>
      </c>
      <c r="D268" s="3" t="s">
        <v>968</v>
      </c>
      <c r="E268" s="78"/>
      <c r="F268" s="61"/>
      <c r="G268" s="61" t="s">
        <v>324</v>
      </c>
      <c r="H268" s="61" t="s">
        <v>11</v>
      </c>
      <c r="I268" s="60"/>
      <c r="J268" s="60"/>
      <c r="K268" s="58"/>
      <c r="L268" s="59"/>
      <c r="M268" s="58"/>
      <c r="N268" s="58"/>
      <c r="O268" s="58"/>
      <c r="P268" s="59"/>
      <c r="Q268" s="3" t="s">
        <v>185</v>
      </c>
    </row>
    <row r="269">
      <c r="A269" s="3">
        <v>41.0</v>
      </c>
      <c r="B269" s="3" t="s">
        <v>969</v>
      </c>
      <c r="C269" s="3">
        <v>2020.0</v>
      </c>
      <c r="D269" s="3" t="s">
        <v>970</v>
      </c>
      <c r="E269" s="79" t="s">
        <v>971</v>
      </c>
      <c r="F269" s="61" t="s">
        <v>11</v>
      </c>
      <c r="G269" s="61"/>
      <c r="H269" s="60"/>
      <c r="I269" s="60"/>
      <c r="J269" s="60"/>
      <c r="K269" s="58"/>
      <c r="L269" s="59"/>
      <c r="M269" s="58"/>
      <c r="N269" s="58"/>
      <c r="O269" s="58"/>
      <c r="P269" s="59"/>
      <c r="Q269" s="3" t="s">
        <v>185</v>
      </c>
      <c r="R269" s="3" t="s">
        <v>881</v>
      </c>
    </row>
    <row r="270">
      <c r="A270" s="3">
        <v>41.0</v>
      </c>
      <c r="B270" s="3" t="s">
        <v>972</v>
      </c>
      <c r="C270" s="3">
        <v>2021.0</v>
      </c>
      <c r="D270" s="3" t="s">
        <v>973</v>
      </c>
      <c r="E270" s="45" t="s">
        <v>974</v>
      </c>
      <c r="F270" s="61" t="s">
        <v>11</v>
      </c>
      <c r="G270" s="61"/>
      <c r="H270" s="60"/>
      <c r="I270" s="60"/>
      <c r="J270" s="60"/>
      <c r="K270" s="58"/>
      <c r="L270" s="59"/>
      <c r="M270" s="58"/>
      <c r="N270" s="58"/>
      <c r="O270" s="58"/>
      <c r="P270" s="59"/>
      <c r="Q270" s="3" t="s">
        <v>185</v>
      </c>
    </row>
    <row r="271">
      <c r="A271" s="3">
        <v>41.0</v>
      </c>
      <c r="B271" s="3" t="s">
        <v>975</v>
      </c>
      <c r="C271" s="3">
        <v>2017.0</v>
      </c>
      <c r="D271" s="3" t="s">
        <v>976</v>
      </c>
      <c r="E271" s="45" t="s">
        <v>977</v>
      </c>
      <c r="F271" s="61" t="s">
        <v>11</v>
      </c>
      <c r="G271" s="61"/>
      <c r="H271" s="60"/>
      <c r="I271" s="60"/>
      <c r="J271" s="60"/>
      <c r="K271" s="58"/>
      <c r="L271" s="59"/>
      <c r="M271" s="58"/>
      <c r="N271" s="58"/>
      <c r="O271" s="58"/>
      <c r="P271" s="59"/>
      <c r="Q271" s="3" t="s">
        <v>185</v>
      </c>
    </row>
    <row r="272">
      <c r="A272" s="3">
        <v>41.0</v>
      </c>
      <c r="B272" s="3" t="s">
        <v>978</v>
      </c>
      <c r="C272" s="3">
        <v>2020.0</v>
      </c>
      <c r="D272" s="3" t="s">
        <v>979</v>
      </c>
      <c r="E272" s="45" t="s">
        <v>980</v>
      </c>
      <c r="F272" s="61"/>
      <c r="G272" s="61"/>
      <c r="H272" s="61" t="s">
        <v>11</v>
      </c>
      <c r="I272" s="60"/>
      <c r="J272" s="60"/>
      <c r="K272" s="58"/>
      <c r="L272" s="59"/>
      <c r="M272" s="58"/>
      <c r="N272" s="58"/>
      <c r="O272" s="58"/>
      <c r="P272" s="59"/>
      <c r="Q272" s="3" t="s">
        <v>185</v>
      </c>
    </row>
    <row r="273">
      <c r="A273" s="3">
        <v>41.0</v>
      </c>
      <c r="B273" s="3" t="s">
        <v>981</v>
      </c>
      <c r="C273" s="3">
        <v>2009.0</v>
      </c>
      <c r="D273" s="3" t="s">
        <v>982</v>
      </c>
      <c r="E273" s="45" t="s">
        <v>983</v>
      </c>
      <c r="F273" s="61"/>
      <c r="G273" s="61" t="s">
        <v>11</v>
      </c>
      <c r="H273" s="60"/>
      <c r="I273" s="60"/>
      <c r="J273" s="60"/>
      <c r="K273" s="58"/>
      <c r="L273" s="59"/>
      <c r="M273" s="58"/>
      <c r="N273" s="58"/>
      <c r="O273" s="58"/>
      <c r="P273" s="59"/>
      <c r="Q273" s="3" t="s">
        <v>185</v>
      </c>
    </row>
    <row r="274">
      <c r="A274" s="3">
        <v>41.0</v>
      </c>
      <c r="B274" s="3" t="s">
        <v>984</v>
      </c>
      <c r="C274" s="3">
        <v>2019.0</v>
      </c>
      <c r="D274" s="3" t="s">
        <v>985</v>
      </c>
      <c r="E274" s="45" t="s">
        <v>986</v>
      </c>
      <c r="F274" s="61" t="s">
        <v>11</v>
      </c>
      <c r="G274" s="61"/>
      <c r="H274" s="60"/>
      <c r="I274" s="60"/>
      <c r="J274" s="60"/>
      <c r="K274" s="58"/>
      <c r="L274" s="59"/>
      <c r="M274" s="58"/>
      <c r="N274" s="58"/>
      <c r="O274" s="58"/>
      <c r="P274" s="59"/>
      <c r="Q274" s="3" t="s">
        <v>185</v>
      </c>
    </row>
    <row r="275">
      <c r="A275" s="3">
        <v>41.0</v>
      </c>
      <c r="B275" s="3" t="s">
        <v>987</v>
      </c>
      <c r="C275" s="3">
        <v>2018.0</v>
      </c>
      <c r="D275" s="3" t="s">
        <v>988</v>
      </c>
      <c r="E275" s="45" t="s">
        <v>989</v>
      </c>
      <c r="F275" s="61" t="s">
        <v>11</v>
      </c>
      <c r="G275" s="61"/>
      <c r="H275" s="60"/>
      <c r="I275" s="60"/>
      <c r="J275" s="60"/>
      <c r="K275" s="58"/>
      <c r="L275" s="59"/>
      <c r="M275" s="58"/>
      <c r="N275" s="58"/>
      <c r="O275" s="58"/>
      <c r="P275" s="59"/>
      <c r="Q275" s="3" t="s">
        <v>185</v>
      </c>
    </row>
    <row r="276">
      <c r="A276" s="3">
        <v>41.0</v>
      </c>
      <c r="B276" s="3" t="s">
        <v>990</v>
      </c>
      <c r="C276" s="3">
        <v>2019.0</v>
      </c>
      <c r="D276" s="3" t="s">
        <v>991</v>
      </c>
      <c r="E276" s="45" t="s">
        <v>992</v>
      </c>
      <c r="F276" s="61" t="s">
        <v>11</v>
      </c>
      <c r="G276" s="61"/>
      <c r="H276" s="60"/>
      <c r="I276" s="60"/>
      <c r="J276" s="60"/>
      <c r="K276" s="58"/>
      <c r="L276" s="59"/>
      <c r="M276" s="58"/>
      <c r="N276" s="58"/>
      <c r="O276" s="58"/>
      <c r="P276" s="59"/>
      <c r="Q276" s="3" t="s">
        <v>185</v>
      </c>
    </row>
    <row r="277">
      <c r="A277" s="3">
        <v>41.0</v>
      </c>
      <c r="B277" s="3" t="s">
        <v>993</v>
      </c>
      <c r="C277" s="3">
        <v>2020.0</v>
      </c>
      <c r="D277" s="3" t="s">
        <v>994</v>
      </c>
      <c r="E277" s="45" t="s">
        <v>995</v>
      </c>
      <c r="F277" s="61" t="s">
        <v>11</v>
      </c>
      <c r="G277" s="61"/>
      <c r="H277" s="60"/>
      <c r="I277" s="60"/>
      <c r="J277" s="60"/>
      <c r="K277" s="58"/>
      <c r="L277" s="59"/>
      <c r="M277" s="58"/>
      <c r="N277" s="58"/>
      <c r="O277" s="58"/>
      <c r="P277" s="59"/>
      <c r="Q277" s="3" t="s">
        <v>185</v>
      </c>
    </row>
    <row r="278">
      <c r="A278" s="3">
        <v>41.0</v>
      </c>
      <c r="B278" s="3" t="s">
        <v>996</v>
      </c>
      <c r="C278" s="3">
        <v>2018.0</v>
      </c>
      <c r="D278" s="3" t="s">
        <v>997</v>
      </c>
      <c r="E278" s="45" t="s">
        <v>998</v>
      </c>
      <c r="F278" s="61"/>
      <c r="G278" s="61" t="s">
        <v>11</v>
      </c>
      <c r="H278" s="60"/>
      <c r="I278" s="60"/>
      <c r="J278" s="60"/>
      <c r="K278" s="58"/>
      <c r="L278" s="59"/>
      <c r="M278" s="58"/>
      <c r="N278" s="58"/>
      <c r="O278" s="58"/>
      <c r="P278" s="59"/>
      <c r="Q278" s="3" t="s">
        <v>185</v>
      </c>
    </row>
    <row r="279">
      <c r="A279" s="3">
        <v>41.0</v>
      </c>
      <c r="B279" s="3" t="s">
        <v>999</v>
      </c>
      <c r="C279" s="3">
        <v>2019.0</v>
      </c>
      <c r="D279" s="3" t="s">
        <v>1000</v>
      </c>
      <c r="E279" s="45" t="s">
        <v>1001</v>
      </c>
      <c r="F279" s="61" t="s">
        <v>11</v>
      </c>
      <c r="G279" s="61"/>
      <c r="H279" s="60"/>
      <c r="I279" s="60"/>
      <c r="J279" s="60"/>
      <c r="K279" s="58"/>
      <c r="L279" s="59"/>
      <c r="M279" s="58"/>
      <c r="N279" s="58"/>
      <c r="O279" s="58"/>
      <c r="P279" s="59"/>
      <c r="Q279" s="3" t="s">
        <v>185</v>
      </c>
    </row>
    <row r="280">
      <c r="A280" s="3">
        <v>41.0</v>
      </c>
      <c r="B280" s="3" t="s">
        <v>1002</v>
      </c>
      <c r="C280" s="3">
        <v>2016.0</v>
      </c>
      <c r="D280" s="3" t="s">
        <v>1003</v>
      </c>
      <c r="E280" s="45" t="s">
        <v>1004</v>
      </c>
      <c r="F280" s="61" t="s">
        <v>11</v>
      </c>
      <c r="G280" s="61"/>
      <c r="H280" s="60"/>
      <c r="I280" s="60"/>
      <c r="J280" s="60"/>
      <c r="K280" s="58"/>
      <c r="L280" s="59"/>
      <c r="M280" s="58"/>
      <c r="N280" s="58"/>
      <c r="O280" s="58"/>
      <c r="P280" s="59"/>
      <c r="Q280" s="3" t="s">
        <v>185</v>
      </c>
      <c r="R280" s="3" t="s">
        <v>1005</v>
      </c>
    </row>
    <row r="281">
      <c r="A281" s="3">
        <v>41.0</v>
      </c>
      <c r="B281" s="3" t="s">
        <v>1006</v>
      </c>
      <c r="C281" s="3">
        <v>2017.0</v>
      </c>
      <c r="D281" s="3" t="s">
        <v>1007</v>
      </c>
      <c r="E281" s="45" t="s">
        <v>1008</v>
      </c>
      <c r="F281" s="61"/>
      <c r="G281" s="61" t="s">
        <v>11</v>
      </c>
      <c r="H281" s="60"/>
      <c r="I281" s="60"/>
      <c r="J281" s="60"/>
      <c r="K281" s="58"/>
      <c r="L281" s="59"/>
      <c r="M281" s="58"/>
      <c r="N281" s="58"/>
      <c r="O281" s="58"/>
      <c r="P281" s="59"/>
      <c r="Q281" s="3" t="s">
        <v>185</v>
      </c>
      <c r="R281" s="3" t="s">
        <v>1009</v>
      </c>
    </row>
    <row r="282">
      <c r="A282" s="3">
        <v>41.0</v>
      </c>
      <c r="B282" s="3" t="s">
        <v>1010</v>
      </c>
      <c r="C282" s="3">
        <v>2016.0</v>
      </c>
      <c r="D282" s="3" t="s">
        <v>1011</v>
      </c>
      <c r="E282" s="45" t="s">
        <v>1012</v>
      </c>
      <c r="F282" s="61" t="s">
        <v>11</v>
      </c>
      <c r="G282" s="61"/>
      <c r="H282" s="60"/>
      <c r="I282" s="60"/>
      <c r="J282" s="60"/>
      <c r="K282" s="58"/>
      <c r="L282" s="59"/>
      <c r="M282" s="58"/>
      <c r="N282" s="58"/>
      <c r="O282" s="58"/>
      <c r="P282" s="59"/>
      <c r="Q282" s="3" t="s">
        <v>185</v>
      </c>
    </row>
    <row r="283">
      <c r="A283" s="3">
        <v>41.0</v>
      </c>
      <c r="B283" s="3" t="s">
        <v>1013</v>
      </c>
      <c r="C283" s="3">
        <v>2022.0</v>
      </c>
      <c r="D283" s="3" t="s">
        <v>1014</v>
      </c>
      <c r="E283" s="45" t="s">
        <v>1015</v>
      </c>
      <c r="F283" s="61"/>
      <c r="G283" s="61"/>
      <c r="H283" s="60"/>
      <c r="I283" s="60"/>
      <c r="J283" s="60"/>
      <c r="K283" s="58"/>
      <c r="L283" s="59"/>
      <c r="M283" s="58"/>
      <c r="N283" s="58"/>
      <c r="O283" s="58"/>
      <c r="P283" s="59" t="s">
        <v>11</v>
      </c>
      <c r="Q283" s="3" t="s">
        <v>185</v>
      </c>
    </row>
    <row r="284">
      <c r="A284" s="3">
        <v>41.0</v>
      </c>
      <c r="B284" s="3" t="s">
        <v>1016</v>
      </c>
      <c r="C284" s="3">
        <v>2023.0</v>
      </c>
      <c r="D284" s="3" t="s">
        <v>1017</v>
      </c>
      <c r="E284" s="45" t="s">
        <v>1018</v>
      </c>
      <c r="F284" s="61"/>
      <c r="G284" s="61"/>
      <c r="H284" s="60"/>
      <c r="I284" s="60"/>
      <c r="J284" s="60"/>
      <c r="K284" s="58"/>
      <c r="L284" s="59"/>
      <c r="M284" s="58"/>
      <c r="N284" s="58"/>
      <c r="O284" s="58"/>
      <c r="P284" s="59" t="s">
        <v>11</v>
      </c>
      <c r="Q284" s="3" t="s">
        <v>185</v>
      </c>
    </row>
    <row r="285">
      <c r="A285" s="3">
        <v>41.0</v>
      </c>
      <c r="B285" s="3" t="s">
        <v>1019</v>
      </c>
      <c r="C285" s="3">
        <v>2018.0</v>
      </c>
      <c r="D285" s="3" t="s">
        <v>1020</v>
      </c>
      <c r="E285" s="45" t="s">
        <v>1021</v>
      </c>
      <c r="F285" s="61"/>
      <c r="G285" s="61"/>
      <c r="H285" s="60"/>
      <c r="I285" s="60"/>
      <c r="J285" s="60"/>
      <c r="K285" s="58"/>
      <c r="L285" s="59"/>
      <c r="M285" s="59" t="s">
        <v>11</v>
      </c>
      <c r="N285" s="58"/>
      <c r="O285" s="58"/>
      <c r="P285" s="59"/>
      <c r="Q285" s="3" t="s">
        <v>185</v>
      </c>
    </row>
    <row r="286">
      <c r="A286" s="3">
        <v>41.0</v>
      </c>
      <c r="B286" s="3" t="s">
        <v>1022</v>
      </c>
      <c r="C286" s="3">
        <v>2018.0</v>
      </c>
      <c r="D286" s="3" t="s">
        <v>1023</v>
      </c>
      <c r="E286" s="45" t="s">
        <v>1024</v>
      </c>
      <c r="F286" s="61" t="s">
        <v>11</v>
      </c>
      <c r="G286" s="61"/>
      <c r="H286" s="60"/>
      <c r="I286" s="60"/>
      <c r="J286" s="60"/>
      <c r="K286" s="58"/>
      <c r="L286" s="59"/>
      <c r="M286" s="58"/>
      <c r="N286" s="58"/>
      <c r="O286" s="58"/>
      <c r="P286" s="59"/>
      <c r="Q286" s="3" t="s">
        <v>185</v>
      </c>
    </row>
    <row r="287">
      <c r="A287" s="3">
        <v>41.0</v>
      </c>
      <c r="B287" s="3" t="s">
        <v>1025</v>
      </c>
      <c r="C287" s="3">
        <v>2020.0</v>
      </c>
      <c r="D287" s="3" t="s">
        <v>1026</v>
      </c>
      <c r="E287" s="45" t="s">
        <v>1027</v>
      </c>
      <c r="F287" s="61" t="s">
        <v>11</v>
      </c>
      <c r="G287" s="61" t="s">
        <v>324</v>
      </c>
      <c r="H287" s="60"/>
      <c r="I287" s="60"/>
      <c r="J287" s="60"/>
      <c r="K287" s="58"/>
      <c r="L287" s="59"/>
      <c r="M287" s="58"/>
      <c r="N287" s="58"/>
      <c r="O287" s="58"/>
      <c r="P287" s="59"/>
      <c r="Q287" s="3" t="s">
        <v>185</v>
      </c>
      <c r="R287" s="3" t="s">
        <v>1028</v>
      </c>
    </row>
    <row r="288">
      <c r="A288" s="3">
        <v>41.0</v>
      </c>
      <c r="B288" s="3" t="s">
        <v>1029</v>
      </c>
      <c r="C288" s="3">
        <v>2018.0</v>
      </c>
      <c r="D288" s="3" t="s">
        <v>1030</v>
      </c>
      <c r="E288" s="45" t="s">
        <v>1031</v>
      </c>
      <c r="F288" s="61" t="s">
        <v>11</v>
      </c>
      <c r="G288" s="61"/>
      <c r="H288" s="60"/>
      <c r="I288" s="60"/>
      <c r="J288" s="60"/>
      <c r="K288" s="58"/>
      <c r="L288" s="59"/>
      <c r="M288" s="58"/>
      <c r="N288" s="58"/>
      <c r="O288" s="58"/>
      <c r="P288" s="59"/>
      <c r="Q288" s="3" t="s">
        <v>185</v>
      </c>
    </row>
    <row r="289">
      <c r="A289" s="3">
        <v>41.0</v>
      </c>
      <c r="B289" s="3" t="s">
        <v>1032</v>
      </c>
      <c r="C289" s="3">
        <v>2016.0</v>
      </c>
      <c r="D289" s="3" t="s">
        <v>1033</v>
      </c>
      <c r="E289" s="45" t="s">
        <v>1034</v>
      </c>
      <c r="F289" s="61" t="s">
        <v>324</v>
      </c>
      <c r="G289" s="61"/>
      <c r="H289" s="60"/>
      <c r="I289" s="61" t="s">
        <v>11</v>
      </c>
      <c r="J289" s="60"/>
      <c r="K289" s="58"/>
      <c r="L289" s="59"/>
      <c r="M289" s="58"/>
      <c r="N289" s="58"/>
      <c r="O289" s="58"/>
      <c r="P289" s="59"/>
      <c r="Q289" s="3" t="s">
        <v>185</v>
      </c>
      <c r="R289" s="3" t="s">
        <v>1035</v>
      </c>
    </row>
    <row r="290">
      <c r="A290" s="3">
        <v>41.0</v>
      </c>
      <c r="B290" s="3" t="s">
        <v>1036</v>
      </c>
      <c r="C290" s="3">
        <v>2021.0</v>
      </c>
      <c r="D290" s="3" t="s">
        <v>1037</v>
      </c>
      <c r="E290" s="45" t="s">
        <v>1038</v>
      </c>
      <c r="F290" s="61"/>
      <c r="G290" s="61"/>
      <c r="H290" s="60"/>
      <c r="I290" s="60"/>
      <c r="J290" s="60"/>
      <c r="K290" s="58"/>
      <c r="L290" s="59"/>
      <c r="M290" s="58"/>
      <c r="N290" s="58"/>
      <c r="O290" s="58"/>
      <c r="P290" s="59" t="s">
        <v>11</v>
      </c>
      <c r="Q290" s="3" t="s">
        <v>185</v>
      </c>
    </row>
    <row r="291">
      <c r="A291" s="3">
        <v>41.0</v>
      </c>
      <c r="B291" s="3" t="s">
        <v>1039</v>
      </c>
      <c r="C291" s="3">
        <v>2019.0</v>
      </c>
      <c r="D291" s="3" t="s">
        <v>1040</v>
      </c>
      <c r="E291" s="45" t="s">
        <v>1041</v>
      </c>
      <c r="F291" s="61"/>
      <c r="G291" s="61"/>
      <c r="H291" s="60"/>
      <c r="I291" s="60"/>
      <c r="J291" s="60"/>
      <c r="K291" s="58"/>
      <c r="L291" s="59"/>
      <c r="M291" s="58"/>
      <c r="N291" s="58"/>
      <c r="O291" s="58"/>
      <c r="P291" s="59" t="s">
        <v>11</v>
      </c>
      <c r="Q291" s="3" t="s">
        <v>185</v>
      </c>
    </row>
    <row r="292">
      <c r="B292" s="3"/>
      <c r="C292" s="3"/>
      <c r="E292" s="78"/>
      <c r="F292" s="61"/>
      <c r="G292" s="61"/>
      <c r="H292" s="60"/>
      <c r="I292" s="60"/>
      <c r="J292" s="60"/>
      <c r="K292" s="58"/>
      <c r="L292" s="59"/>
      <c r="M292" s="58"/>
      <c r="N292" s="58"/>
      <c r="O292" s="58"/>
      <c r="P292" s="59"/>
      <c r="Q292" s="3"/>
    </row>
    <row r="293">
      <c r="A293" s="3"/>
      <c r="B293" s="3"/>
      <c r="C293" s="3"/>
      <c r="D293" s="3"/>
      <c r="E293" s="78"/>
      <c r="F293" s="61"/>
      <c r="G293" s="61"/>
      <c r="H293" s="60"/>
      <c r="I293" s="60"/>
      <c r="J293" s="60"/>
      <c r="K293" s="58"/>
      <c r="L293" s="59"/>
      <c r="M293" s="58"/>
      <c r="N293" s="58"/>
      <c r="O293" s="58"/>
      <c r="P293" s="59"/>
      <c r="Q293" s="3"/>
    </row>
    <row r="294">
      <c r="A294" s="3"/>
      <c r="B294" s="3"/>
      <c r="C294" s="3"/>
      <c r="D294" s="3"/>
      <c r="E294" s="78"/>
      <c r="F294" s="61"/>
      <c r="G294" s="61"/>
      <c r="H294" s="60"/>
      <c r="I294" s="60"/>
      <c r="J294" s="60"/>
      <c r="K294" s="58"/>
      <c r="L294" s="59"/>
      <c r="M294" s="58"/>
      <c r="N294" s="58"/>
      <c r="O294" s="58"/>
      <c r="P294" s="59"/>
      <c r="Q294" s="3"/>
    </row>
    <row r="295">
      <c r="A295" s="3"/>
      <c r="B295" s="3"/>
      <c r="C295" s="3"/>
      <c r="D295" s="3"/>
      <c r="E295" s="78"/>
      <c r="F295" s="61"/>
      <c r="G295" s="61"/>
      <c r="H295" s="60"/>
      <c r="I295" s="60"/>
      <c r="J295" s="60"/>
      <c r="K295" s="58"/>
      <c r="L295" s="59"/>
      <c r="M295" s="58"/>
      <c r="N295" s="58"/>
      <c r="O295" s="58"/>
      <c r="P295" s="59"/>
      <c r="Q295" s="3"/>
    </row>
    <row r="296">
      <c r="A296" s="9"/>
      <c r="E296" s="67"/>
    </row>
    <row r="297">
      <c r="A297" s="9"/>
      <c r="E297" s="67"/>
    </row>
    <row r="298">
      <c r="A298" s="9"/>
      <c r="E298" s="62"/>
    </row>
    <row r="299">
      <c r="A299" s="9"/>
      <c r="E299" s="62"/>
    </row>
    <row r="300">
      <c r="A300" s="9"/>
      <c r="E300" s="62"/>
    </row>
    <row r="301">
      <c r="A301" s="9"/>
      <c r="E301" s="62"/>
    </row>
    <row r="302">
      <c r="A302" s="9"/>
      <c r="E302" s="62"/>
    </row>
    <row r="303">
      <c r="E303" s="62"/>
    </row>
    <row r="304">
      <c r="E304" s="62"/>
    </row>
    <row r="305">
      <c r="E305" s="62"/>
    </row>
    <row r="306">
      <c r="E306" s="62"/>
    </row>
    <row r="307">
      <c r="E307" s="62"/>
    </row>
    <row r="308">
      <c r="E308" s="62"/>
    </row>
    <row r="309">
      <c r="E309" s="62"/>
    </row>
    <row r="310">
      <c r="E310" s="62"/>
    </row>
    <row r="311">
      <c r="E311" s="62"/>
    </row>
    <row r="312">
      <c r="E312" s="62"/>
    </row>
    <row r="313">
      <c r="E313" s="62"/>
    </row>
    <row r="314">
      <c r="E314" s="62"/>
    </row>
    <row r="315">
      <c r="E315" s="62"/>
    </row>
    <row r="316">
      <c r="E316" s="62"/>
    </row>
    <row r="317">
      <c r="E317" s="62"/>
    </row>
    <row r="318">
      <c r="E318" s="62"/>
    </row>
    <row r="319">
      <c r="E319" s="62"/>
    </row>
    <row r="320">
      <c r="E320" s="62"/>
    </row>
    <row r="321">
      <c r="E321" s="62"/>
    </row>
    <row r="322">
      <c r="E322" s="62"/>
    </row>
    <row r="323">
      <c r="E323" s="62"/>
    </row>
    <row r="324">
      <c r="E324" s="62"/>
    </row>
    <row r="325">
      <c r="E325" s="62"/>
    </row>
    <row r="326">
      <c r="E326" s="62"/>
    </row>
    <row r="327">
      <c r="E327" s="62"/>
    </row>
    <row r="328">
      <c r="E328" s="62"/>
    </row>
    <row r="329">
      <c r="E329" s="62"/>
    </row>
    <row r="330">
      <c r="E330" s="62"/>
    </row>
    <row r="331">
      <c r="E331" s="62"/>
    </row>
    <row r="332">
      <c r="E332" s="62"/>
    </row>
    <row r="333">
      <c r="E333" s="62"/>
    </row>
    <row r="334">
      <c r="E334" s="62"/>
    </row>
    <row r="335">
      <c r="E335" s="62"/>
    </row>
    <row r="336">
      <c r="E336" s="62"/>
    </row>
    <row r="337">
      <c r="E337" s="62"/>
    </row>
    <row r="338">
      <c r="E338" s="62"/>
    </row>
    <row r="339">
      <c r="E339" s="62"/>
    </row>
    <row r="340">
      <c r="E340" s="62"/>
    </row>
    <row r="341">
      <c r="E341" s="62"/>
    </row>
    <row r="342">
      <c r="E342" s="62"/>
    </row>
    <row r="343">
      <c r="E343" s="62"/>
    </row>
    <row r="344">
      <c r="E344" s="62"/>
    </row>
    <row r="345">
      <c r="E345" s="62"/>
    </row>
    <row r="346">
      <c r="E346" s="62"/>
    </row>
    <row r="347">
      <c r="E347" s="62"/>
    </row>
    <row r="348">
      <c r="E348" s="62"/>
    </row>
    <row r="349">
      <c r="E349" s="62"/>
    </row>
    <row r="350">
      <c r="E350" s="62"/>
    </row>
    <row r="351">
      <c r="E351" s="62"/>
    </row>
    <row r="352">
      <c r="E352" s="62"/>
    </row>
    <row r="353">
      <c r="E353" s="62"/>
    </row>
    <row r="354">
      <c r="E354" s="62"/>
    </row>
    <row r="355">
      <c r="E355" s="62"/>
    </row>
    <row r="356">
      <c r="E356" s="62"/>
    </row>
    <row r="357">
      <c r="E357" s="62"/>
    </row>
    <row r="358">
      <c r="E358" s="62"/>
    </row>
    <row r="359">
      <c r="E359" s="62"/>
    </row>
    <row r="360">
      <c r="E360" s="62"/>
    </row>
    <row r="361">
      <c r="E361" s="62"/>
    </row>
    <row r="362">
      <c r="E362" s="62"/>
    </row>
    <row r="363">
      <c r="E363" s="62"/>
    </row>
    <row r="364">
      <c r="E364" s="62"/>
    </row>
    <row r="365">
      <c r="E365" s="62"/>
    </row>
    <row r="366">
      <c r="E366" s="62"/>
    </row>
    <row r="367">
      <c r="E367" s="62"/>
    </row>
    <row r="368">
      <c r="E368" s="62"/>
    </row>
    <row r="369">
      <c r="E369" s="62"/>
    </row>
    <row r="370">
      <c r="E370" s="62"/>
    </row>
    <row r="371">
      <c r="E371" s="62"/>
    </row>
    <row r="372">
      <c r="E372" s="62"/>
    </row>
    <row r="373">
      <c r="E373" s="62"/>
    </row>
    <row r="374">
      <c r="E374" s="62"/>
    </row>
    <row r="375">
      <c r="E375" s="62"/>
    </row>
    <row r="376">
      <c r="E376" s="62"/>
    </row>
    <row r="377">
      <c r="E377" s="62"/>
    </row>
    <row r="378">
      <c r="E378" s="62"/>
    </row>
    <row r="379">
      <c r="E379" s="62"/>
    </row>
    <row r="380">
      <c r="E380" s="62"/>
    </row>
    <row r="381">
      <c r="E381" s="62"/>
    </row>
    <row r="382">
      <c r="E382" s="62"/>
    </row>
    <row r="383">
      <c r="E383" s="62"/>
    </row>
    <row r="384">
      <c r="E384" s="62"/>
    </row>
    <row r="385">
      <c r="E385" s="62"/>
    </row>
    <row r="386">
      <c r="E386" s="62"/>
    </row>
    <row r="387">
      <c r="E387" s="62"/>
    </row>
    <row r="388">
      <c r="E388" s="62"/>
    </row>
    <row r="389">
      <c r="E389" s="62"/>
    </row>
    <row r="390">
      <c r="E390" s="62"/>
    </row>
    <row r="391">
      <c r="E391" s="62"/>
    </row>
    <row r="392">
      <c r="E392" s="62"/>
    </row>
    <row r="393">
      <c r="E393" s="62"/>
    </row>
    <row r="394">
      <c r="E394" s="62"/>
    </row>
    <row r="395">
      <c r="E395" s="62"/>
    </row>
    <row r="396">
      <c r="E396" s="62"/>
    </row>
    <row r="397">
      <c r="E397" s="62"/>
    </row>
    <row r="398">
      <c r="E398" s="62"/>
    </row>
    <row r="399">
      <c r="E399" s="62"/>
    </row>
    <row r="400">
      <c r="E400" s="62"/>
    </row>
    <row r="401">
      <c r="E401" s="62"/>
    </row>
    <row r="402">
      <c r="E402" s="62"/>
    </row>
    <row r="403">
      <c r="E403" s="62"/>
    </row>
    <row r="404">
      <c r="E404" s="62"/>
    </row>
    <row r="405">
      <c r="E405" s="62"/>
    </row>
    <row r="406">
      <c r="E406" s="62"/>
    </row>
    <row r="407">
      <c r="E407" s="62"/>
    </row>
    <row r="408">
      <c r="E408" s="62"/>
    </row>
    <row r="409">
      <c r="E409" s="62"/>
    </row>
    <row r="410">
      <c r="E410" s="62"/>
    </row>
    <row r="411">
      <c r="E411" s="62"/>
    </row>
    <row r="412">
      <c r="E412" s="62"/>
    </row>
    <row r="413">
      <c r="E413" s="62"/>
    </row>
    <row r="414">
      <c r="E414" s="62"/>
    </row>
    <row r="415">
      <c r="E415" s="62"/>
    </row>
    <row r="416">
      <c r="E416" s="62"/>
    </row>
    <row r="417">
      <c r="E417" s="62"/>
    </row>
    <row r="418">
      <c r="E418" s="62"/>
    </row>
    <row r="419">
      <c r="E419" s="62"/>
    </row>
    <row r="420">
      <c r="E420" s="62"/>
    </row>
    <row r="421">
      <c r="E421" s="62"/>
    </row>
    <row r="422">
      <c r="E422" s="62"/>
    </row>
    <row r="423">
      <c r="E423" s="62"/>
    </row>
    <row r="424">
      <c r="E424" s="62"/>
    </row>
    <row r="425">
      <c r="E425" s="62"/>
    </row>
    <row r="426">
      <c r="E426" s="62"/>
    </row>
    <row r="427">
      <c r="E427" s="62"/>
    </row>
    <row r="428">
      <c r="E428" s="62"/>
    </row>
    <row r="429">
      <c r="E429" s="62"/>
    </row>
    <row r="430">
      <c r="E430" s="62"/>
    </row>
    <row r="431">
      <c r="E431" s="62"/>
    </row>
    <row r="432">
      <c r="E432" s="62"/>
    </row>
    <row r="433">
      <c r="E433" s="62"/>
    </row>
    <row r="434">
      <c r="E434" s="62"/>
    </row>
    <row r="435">
      <c r="E435" s="62"/>
    </row>
    <row r="436">
      <c r="E436" s="62"/>
    </row>
    <row r="437">
      <c r="E437" s="62"/>
    </row>
    <row r="438">
      <c r="E438" s="62"/>
    </row>
    <row r="439">
      <c r="E439" s="62"/>
    </row>
    <row r="440">
      <c r="E440" s="62"/>
    </row>
    <row r="441">
      <c r="E441" s="62"/>
    </row>
    <row r="442">
      <c r="E442" s="62"/>
    </row>
    <row r="443">
      <c r="E443" s="62"/>
    </row>
    <row r="444">
      <c r="E444" s="62"/>
    </row>
    <row r="445">
      <c r="E445" s="62"/>
    </row>
    <row r="446">
      <c r="E446" s="62"/>
    </row>
    <row r="447">
      <c r="E447" s="62"/>
    </row>
    <row r="448">
      <c r="E448" s="62"/>
    </row>
    <row r="449">
      <c r="E449" s="62"/>
    </row>
    <row r="450">
      <c r="E450" s="62"/>
    </row>
    <row r="451">
      <c r="E451" s="62"/>
    </row>
    <row r="452">
      <c r="E452" s="62"/>
    </row>
    <row r="453">
      <c r="E453" s="62"/>
    </row>
    <row r="454">
      <c r="E454" s="62"/>
    </row>
    <row r="455">
      <c r="E455" s="62"/>
    </row>
    <row r="456">
      <c r="E456" s="62"/>
    </row>
    <row r="457">
      <c r="E457" s="62"/>
    </row>
    <row r="458">
      <c r="E458" s="62"/>
    </row>
    <row r="459">
      <c r="E459" s="62"/>
    </row>
    <row r="460">
      <c r="E460" s="62"/>
    </row>
    <row r="461">
      <c r="E461" s="62"/>
    </row>
    <row r="462">
      <c r="E462" s="62"/>
    </row>
    <row r="463">
      <c r="E463" s="62"/>
    </row>
    <row r="464">
      <c r="E464" s="62"/>
    </row>
    <row r="465">
      <c r="E465" s="62"/>
    </row>
    <row r="466">
      <c r="E466" s="62"/>
    </row>
    <row r="467">
      <c r="E467" s="62"/>
    </row>
    <row r="468">
      <c r="E468" s="62"/>
    </row>
    <row r="469">
      <c r="E469" s="62"/>
    </row>
    <row r="470">
      <c r="E470" s="62"/>
    </row>
    <row r="471">
      <c r="E471" s="62"/>
    </row>
    <row r="472">
      <c r="E472" s="62"/>
    </row>
    <row r="473">
      <c r="E473" s="62"/>
    </row>
    <row r="474">
      <c r="E474" s="62"/>
    </row>
    <row r="475">
      <c r="E475" s="62"/>
    </row>
    <row r="476">
      <c r="E476" s="62"/>
    </row>
    <row r="477">
      <c r="E477" s="62"/>
    </row>
    <row r="478">
      <c r="E478" s="62"/>
    </row>
    <row r="479">
      <c r="E479" s="62"/>
    </row>
    <row r="480">
      <c r="E480" s="62"/>
    </row>
    <row r="481">
      <c r="E481" s="62"/>
    </row>
    <row r="482">
      <c r="E482" s="62"/>
    </row>
    <row r="483">
      <c r="E483" s="62"/>
    </row>
    <row r="484">
      <c r="E484" s="62"/>
    </row>
    <row r="485">
      <c r="E485" s="62"/>
    </row>
    <row r="486">
      <c r="E486" s="62"/>
    </row>
    <row r="487">
      <c r="E487" s="62"/>
    </row>
    <row r="488">
      <c r="E488" s="62"/>
    </row>
    <row r="489">
      <c r="E489" s="62"/>
    </row>
    <row r="490">
      <c r="E490" s="62"/>
    </row>
    <row r="491">
      <c r="E491" s="62"/>
    </row>
    <row r="492">
      <c r="E492" s="62"/>
    </row>
    <row r="493">
      <c r="E493" s="62"/>
    </row>
    <row r="494">
      <c r="E494" s="62"/>
    </row>
    <row r="495">
      <c r="E495" s="62"/>
    </row>
    <row r="496">
      <c r="E496" s="62"/>
    </row>
    <row r="497">
      <c r="E497" s="62"/>
    </row>
    <row r="498">
      <c r="E498" s="62"/>
    </row>
    <row r="499">
      <c r="E499" s="62"/>
    </row>
    <row r="500">
      <c r="E500" s="62"/>
    </row>
    <row r="501">
      <c r="E501" s="62"/>
    </row>
    <row r="502">
      <c r="E502" s="62"/>
    </row>
    <row r="503">
      <c r="E503" s="62"/>
    </row>
    <row r="504">
      <c r="E504" s="62"/>
    </row>
    <row r="505">
      <c r="E505" s="62"/>
    </row>
    <row r="506">
      <c r="E506" s="62"/>
    </row>
    <row r="507">
      <c r="E507" s="62"/>
    </row>
    <row r="508">
      <c r="E508" s="62"/>
    </row>
    <row r="509">
      <c r="E509" s="62"/>
    </row>
    <row r="510">
      <c r="E510" s="62"/>
    </row>
    <row r="511">
      <c r="E511" s="62"/>
    </row>
    <row r="512">
      <c r="E512" s="62"/>
    </row>
    <row r="513">
      <c r="E513" s="62"/>
    </row>
    <row r="514">
      <c r="E514" s="62"/>
    </row>
    <row r="515">
      <c r="E515" s="62"/>
    </row>
    <row r="516">
      <c r="E516" s="62"/>
    </row>
    <row r="517">
      <c r="E517" s="62"/>
    </row>
    <row r="518">
      <c r="E518" s="62"/>
    </row>
    <row r="519">
      <c r="E519" s="62"/>
    </row>
    <row r="520">
      <c r="E520" s="62"/>
    </row>
    <row r="521">
      <c r="E521" s="62"/>
    </row>
    <row r="522">
      <c r="E522" s="62"/>
    </row>
    <row r="523">
      <c r="E523" s="62"/>
    </row>
    <row r="524">
      <c r="E524" s="62"/>
    </row>
    <row r="525">
      <c r="E525" s="62"/>
    </row>
    <row r="526">
      <c r="E526" s="62"/>
    </row>
    <row r="527">
      <c r="E527" s="62"/>
    </row>
    <row r="528">
      <c r="E528" s="62"/>
    </row>
    <row r="529">
      <c r="E529" s="62"/>
    </row>
    <row r="530">
      <c r="E530" s="62"/>
    </row>
    <row r="531">
      <c r="E531" s="62"/>
    </row>
    <row r="532">
      <c r="E532" s="62"/>
    </row>
    <row r="533">
      <c r="E533" s="62"/>
    </row>
    <row r="534">
      <c r="E534" s="62"/>
    </row>
    <row r="535">
      <c r="E535" s="62"/>
    </row>
    <row r="536">
      <c r="E536" s="62"/>
    </row>
    <row r="537">
      <c r="E537" s="62"/>
    </row>
    <row r="538">
      <c r="E538" s="62"/>
    </row>
    <row r="539">
      <c r="E539" s="62"/>
    </row>
    <row r="540">
      <c r="E540" s="62"/>
    </row>
    <row r="541">
      <c r="E541" s="62"/>
    </row>
    <row r="542">
      <c r="E542" s="62"/>
    </row>
    <row r="543">
      <c r="E543" s="62"/>
    </row>
    <row r="544">
      <c r="E544" s="62"/>
    </row>
    <row r="545">
      <c r="E545" s="62"/>
    </row>
    <row r="546">
      <c r="E546" s="62"/>
    </row>
    <row r="547">
      <c r="E547" s="62"/>
    </row>
    <row r="548">
      <c r="E548" s="62"/>
    </row>
    <row r="549">
      <c r="E549" s="62"/>
    </row>
    <row r="550">
      <c r="E550" s="62"/>
    </row>
    <row r="551">
      <c r="E551" s="62"/>
    </row>
    <row r="552">
      <c r="E552" s="62"/>
    </row>
    <row r="553">
      <c r="E553" s="62"/>
    </row>
    <row r="554">
      <c r="E554" s="62"/>
    </row>
    <row r="555">
      <c r="E555" s="62"/>
    </row>
    <row r="556">
      <c r="E556" s="62"/>
    </row>
    <row r="557">
      <c r="E557" s="62"/>
    </row>
    <row r="558">
      <c r="E558" s="62"/>
    </row>
    <row r="559">
      <c r="E559" s="62"/>
    </row>
    <row r="560">
      <c r="E560" s="62"/>
    </row>
    <row r="561">
      <c r="E561" s="62"/>
    </row>
    <row r="562">
      <c r="E562" s="62"/>
    </row>
    <row r="563">
      <c r="E563" s="62"/>
    </row>
    <row r="564">
      <c r="E564" s="62"/>
    </row>
    <row r="565">
      <c r="E565" s="62"/>
    </row>
    <row r="566">
      <c r="E566" s="62"/>
    </row>
    <row r="567">
      <c r="E567" s="62"/>
    </row>
    <row r="568">
      <c r="E568" s="62"/>
    </row>
    <row r="569">
      <c r="E569" s="62"/>
    </row>
    <row r="570">
      <c r="E570" s="62"/>
    </row>
    <row r="571">
      <c r="E571" s="62"/>
    </row>
    <row r="572">
      <c r="E572" s="62"/>
    </row>
    <row r="573">
      <c r="E573" s="62"/>
    </row>
    <row r="574">
      <c r="E574" s="62"/>
    </row>
    <row r="575">
      <c r="E575" s="62"/>
    </row>
    <row r="576">
      <c r="E576" s="62"/>
    </row>
    <row r="577">
      <c r="E577" s="62"/>
    </row>
    <row r="578">
      <c r="E578" s="62"/>
    </row>
    <row r="579">
      <c r="E579" s="62"/>
    </row>
    <row r="580">
      <c r="E580" s="62"/>
    </row>
    <row r="581">
      <c r="E581" s="62"/>
    </row>
    <row r="582">
      <c r="E582" s="62"/>
    </row>
    <row r="583">
      <c r="E583" s="62"/>
    </row>
    <row r="584">
      <c r="E584" s="62"/>
    </row>
    <row r="585">
      <c r="E585" s="62"/>
    </row>
    <row r="586">
      <c r="E586" s="62"/>
    </row>
    <row r="587">
      <c r="E587" s="62"/>
    </row>
    <row r="588">
      <c r="E588" s="62"/>
    </row>
    <row r="589">
      <c r="E589" s="62"/>
    </row>
    <row r="590">
      <c r="E590" s="62"/>
    </row>
    <row r="591">
      <c r="E591" s="62"/>
    </row>
    <row r="592">
      <c r="E592" s="62"/>
    </row>
    <row r="593">
      <c r="E593" s="62"/>
    </row>
    <row r="594">
      <c r="E594" s="62"/>
    </row>
    <row r="595">
      <c r="E595" s="62"/>
    </row>
    <row r="596">
      <c r="E596" s="62"/>
    </row>
    <row r="597">
      <c r="E597" s="62"/>
    </row>
    <row r="598">
      <c r="E598" s="62"/>
    </row>
    <row r="599">
      <c r="E599" s="62"/>
    </row>
    <row r="600">
      <c r="E600" s="62"/>
    </row>
    <row r="601">
      <c r="E601" s="62"/>
    </row>
    <row r="602">
      <c r="E602" s="62"/>
    </row>
    <row r="603">
      <c r="E603" s="62"/>
    </row>
    <row r="604">
      <c r="E604" s="62"/>
    </row>
    <row r="605">
      <c r="E605" s="62"/>
    </row>
    <row r="606">
      <c r="E606" s="62"/>
    </row>
    <row r="607">
      <c r="E607" s="62"/>
    </row>
    <row r="608">
      <c r="E608" s="62"/>
    </row>
    <row r="609">
      <c r="E609" s="62"/>
    </row>
    <row r="610">
      <c r="E610" s="62"/>
    </row>
    <row r="611">
      <c r="E611" s="62"/>
    </row>
    <row r="612">
      <c r="E612" s="62"/>
    </row>
    <row r="613">
      <c r="E613" s="62"/>
    </row>
    <row r="614">
      <c r="E614" s="62"/>
    </row>
    <row r="615">
      <c r="E615" s="62"/>
    </row>
    <row r="616">
      <c r="E616" s="62"/>
    </row>
    <row r="617">
      <c r="E617" s="62"/>
    </row>
    <row r="618">
      <c r="E618" s="62"/>
    </row>
    <row r="619">
      <c r="E619" s="62"/>
    </row>
    <row r="620">
      <c r="E620" s="62"/>
    </row>
    <row r="621">
      <c r="E621" s="62"/>
    </row>
    <row r="622">
      <c r="E622" s="62"/>
    </row>
    <row r="623">
      <c r="E623" s="62"/>
    </row>
    <row r="624">
      <c r="E624" s="62"/>
    </row>
    <row r="625">
      <c r="E625" s="62"/>
    </row>
    <row r="626">
      <c r="E626" s="62"/>
    </row>
    <row r="627">
      <c r="E627" s="62"/>
    </row>
    <row r="628">
      <c r="E628" s="62"/>
    </row>
    <row r="629">
      <c r="E629" s="62"/>
    </row>
    <row r="630">
      <c r="E630" s="62"/>
    </row>
    <row r="631">
      <c r="E631" s="62"/>
    </row>
    <row r="632">
      <c r="E632" s="62"/>
    </row>
    <row r="633">
      <c r="E633" s="62"/>
    </row>
    <row r="634">
      <c r="E634" s="62"/>
    </row>
    <row r="635">
      <c r="E635" s="62"/>
    </row>
    <row r="636">
      <c r="E636" s="62"/>
    </row>
    <row r="637">
      <c r="E637" s="62"/>
    </row>
    <row r="638">
      <c r="E638" s="62"/>
    </row>
    <row r="639">
      <c r="E639" s="62"/>
    </row>
    <row r="640">
      <c r="E640" s="62"/>
    </row>
    <row r="641">
      <c r="E641" s="62"/>
    </row>
    <row r="642">
      <c r="E642" s="62"/>
    </row>
    <row r="643">
      <c r="E643" s="62"/>
    </row>
    <row r="644">
      <c r="E644" s="62"/>
    </row>
    <row r="645">
      <c r="E645" s="62"/>
    </row>
    <row r="646">
      <c r="E646" s="62"/>
    </row>
    <row r="647">
      <c r="E647" s="62"/>
    </row>
    <row r="648">
      <c r="E648" s="62"/>
    </row>
    <row r="649">
      <c r="E649" s="62"/>
    </row>
    <row r="650">
      <c r="E650" s="62"/>
    </row>
    <row r="651">
      <c r="E651" s="62"/>
    </row>
    <row r="652">
      <c r="E652" s="62"/>
    </row>
    <row r="653">
      <c r="E653" s="62"/>
    </row>
    <row r="654">
      <c r="E654" s="62"/>
    </row>
    <row r="655">
      <c r="E655" s="62"/>
    </row>
    <row r="656">
      <c r="E656" s="62"/>
    </row>
    <row r="657">
      <c r="E657" s="62"/>
    </row>
    <row r="658">
      <c r="E658" s="62"/>
    </row>
    <row r="659">
      <c r="E659" s="62"/>
    </row>
    <row r="660">
      <c r="E660" s="62"/>
    </row>
    <row r="661">
      <c r="E661" s="62"/>
    </row>
    <row r="662">
      <c r="E662" s="62"/>
    </row>
    <row r="663">
      <c r="E663" s="62"/>
    </row>
    <row r="664">
      <c r="E664" s="62"/>
    </row>
    <row r="665">
      <c r="E665" s="62"/>
    </row>
    <row r="666">
      <c r="E666" s="62"/>
    </row>
    <row r="667">
      <c r="E667" s="62"/>
    </row>
    <row r="668">
      <c r="E668" s="62"/>
    </row>
    <row r="669">
      <c r="E669" s="62"/>
    </row>
    <row r="670">
      <c r="E670" s="62"/>
    </row>
    <row r="671">
      <c r="E671" s="62"/>
    </row>
    <row r="672">
      <c r="E672" s="62"/>
    </row>
    <row r="673">
      <c r="E673" s="62"/>
    </row>
    <row r="674">
      <c r="E674" s="62"/>
    </row>
    <row r="675">
      <c r="E675" s="62"/>
    </row>
    <row r="676">
      <c r="E676" s="62"/>
    </row>
    <row r="677">
      <c r="E677" s="62"/>
    </row>
    <row r="678">
      <c r="E678" s="62"/>
    </row>
    <row r="679">
      <c r="E679" s="62"/>
    </row>
    <row r="680">
      <c r="E680" s="62"/>
    </row>
    <row r="681">
      <c r="E681" s="62"/>
    </row>
    <row r="682">
      <c r="E682" s="62"/>
    </row>
    <row r="683">
      <c r="E683" s="62"/>
    </row>
    <row r="684">
      <c r="E684" s="62"/>
    </row>
    <row r="685">
      <c r="E685" s="62"/>
    </row>
    <row r="686">
      <c r="E686" s="62"/>
    </row>
    <row r="687">
      <c r="E687" s="62"/>
    </row>
    <row r="688">
      <c r="E688" s="62"/>
    </row>
    <row r="689">
      <c r="E689" s="62"/>
    </row>
    <row r="690">
      <c r="E690" s="62"/>
    </row>
    <row r="691">
      <c r="E691" s="62"/>
    </row>
    <row r="692">
      <c r="E692" s="62"/>
    </row>
    <row r="693">
      <c r="E693" s="62"/>
    </row>
    <row r="694">
      <c r="E694" s="62"/>
    </row>
    <row r="695">
      <c r="E695" s="62"/>
    </row>
    <row r="696">
      <c r="E696" s="62"/>
    </row>
    <row r="697">
      <c r="E697" s="62"/>
    </row>
    <row r="698">
      <c r="E698" s="62"/>
    </row>
    <row r="699">
      <c r="E699" s="62"/>
    </row>
    <row r="700">
      <c r="E700" s="62"/>
    </row>
    <row r="701">
      <c r="E701" s="62"/>
    </row>
    <row r="702">
      <c r="E702" s="62"/>
    </row>
    <row r="703">
      <c r="E703" s="62"/>
    </row>
    <row r="704">
      <c r="E704" s="62"/>
    </row>
    <row r="705">
      <c r="E705" s="62"/>
    </row>
    <row r="706">
      <c r="E706" s="62"/>
    </row>
    <row r="707">
      <c r="E707" s="62"/>
    </row>
    <row r="708">
      <c r="E708" s="62"/>
    </row>
    <row r="709">
      <c r="E709" s="62"/>
    </row>
    <row r="710">
      <c r="E710" s="62"/>
    </row>
    <row r="711">
      <c r="E711" s="62"/>
    </row>
    <row r="712">
      <c r="E712" s="62"/>
    </row>
    <row r="713">
      <c r="E713" s="62"/>
    </row>
    <row r="714">
      <c r="E714" s="62"/>
    </row>
    <row r="715">
      <c r="E715" s="62"/>
    </row>
    <row r="716">
      <c r="E716" s="62"/>
    </row>
    <row r="717">
      <c r="E717" s="62"/>
    </row>
    <row r="718">
      <c r="E718" s="62"/>
    </row>
    <row r="719">
      <c r="E719" s="62"/>
    </row>
    <row r="720">
      <c r="E720" s="62"/>
    </row>
    <row r="721">
      <c r="E721" s="62"/>
    </row>
    <row r="722">
      <c r="E722" s="62"/>
    </row>
    <row r="723">
      <c r="E723" s="62"/>
    </row>
    <row r="724">
      <c r="E724" s="62"/>
    </row>
    <row r="725">
      <c r="E725" s="62"/>
    </row>
    <row r="726">
      <c r="E726" s="62"/>
    </row>
    <row r="727">
      <c r="E727" s="62"/>
    </row>
    <row r="728">
      <c r="E728" s="62"/>
    </row>
    <row r="729">
      <c r="E729" s="62"/>
    </row>
    <row r="730">
      <c r="E730" s="62"/>
    </row>
    <row r="731">
      <c r="E731" s="62"/>
    </row>
    <row r="732">
      <c r="E732" s="62"/>
    </row>
    <row r="733">
      <c r="E733" s="62"/>
    </row>
    <row r="734">
      <c r="E734" s="62"/>
    </row>
    <row r="735">
      <c r="E735" s="62"/>
    </row>
    <row r="736">
      <c r="E736" s="62"/>
    </row>
    <row r="737">
      <c r="E737" s="62"/>
    </row>
    <row r="738">
      <c r="E738" s="62"/>
    </row>
    <row r="739">
      <c r="E739" s="62"/>
    </row>
    <row r="740">
      <c r="E740" s="62"/>
    </row>
    <row r="741">
      <c r="E741" s="62"/>
    </row>
    <row r="742">
      <c r="E742" s="62"/>
    </row>
    <row r="743">
      <c r="E743" s="62"/>
    </row>
    <row r="744">
      <c r="E744" s="62"/>
    </row>
    <row r="745">
      <c r="E745" s="62"/>
    </row>
    <row r="746">
      <c r="E746" s="62"/>
    </row>
    <row r="747">
      <c r="E747" s="62"/>
    </row>
    <row r="748">
      <c r="E748" s="62"/>
    </row>
    <row r="749">
      <c r="E749" s="62"/>
    </row>
    <row r="750">
      <c r="E750" s="62"/>
    </row>
    <row r="751">
      <c r="E751" s="62"/>
    </row>
    <row r="752">
      <c r="E752" s="62"/>
    </row>
    <row r="753">
      <c r="E753" s="62"/>
    </row>
    <row r="754">
      <c r="E754" s="62"/>
    </row>
    <row r="755">
      <c r="E755" s="62"/>
    </row>
    <row r="756">
      <c r="E756" s="62"/>
    </row>
    <row r="757">
      <c r="E757" s="62"/>
    </row>
    <row r="758">
      <c r="E758" s="62"/>
    </row>
    <row r="759">
      <c r="E759" s="62"/>
    </row>
    <row r="760">
      <c r="E760" s="62"/>
    </row>
    <row r="761">
      <c r="E761" s="62"/>
    </row>
    <row r="762">
      <c r="E762" s="62"/>
    </row>
    <row r="763">
      <c r="E763" s="62"/>
    </row>
    <row r="764">
      <c r="E764" s="62"/>
    </row>
    <row r="765">
      <c r="E765" s="62"/>
    </row>
    <row r="766">
      <c r="E766" s="62"/>
    </row>
    <row r="767">
      <c r="E767" s="62"/>
    </row>
    <row r="768">
      <c r="E768" s="62"/>
    </row>
    <row r="769">
      <c r="E769" s="62"/>
    </row>
    <row r="770">
      <c r="E770" s="62"/>
    </row>
    <row r="771">
      <c r="E771" s="62"/>
    </row>
    <row r="772">
      <c r="E772" s="62"/>
    </row>
    <row r="773">
      <c r="E773" s="62"/>
    </row>
    <row r="774">
      <c r="E774" s="62"/>
    </row>
    <row r="775">
      <c r="E775" s="62"/>
    </row>
    <row r="776">
      <c r="E776" s="62"/>
    </row>
    <row r="777">
      <c r="E777" s="62"/>
    </row>
    <row r="778">
      <c r="E778" s="62"/>
    </row>
    <row r="779">
      <c r="E779" s="62"/>
    </row>
    <row r="780">
      <c r="E780" s="62"/>
    </row>
    <row r="781">
      <c r="E781" s="62"/>
    </row>
    <row r="782">
      <c r="E782" s="62"/>
    </row>
    <row r="783">
      <c r="E783" s="62"/>
    </row>
    <row r="784">
      <c r="E784" s="62"/>
    </row>
    <row r="785">
      <c r="E785" s="62"/>
    </row>
    <row r="786">
      <c r="E786" s="62"/>
    </row>
    <row r="787">
      <c r="E787" s="62"/>
    </row>
    <row r="788">
      <c r="E788" s="62"/>
    </row>
    <row r="789">
      <c r="E789" s="62"/>
    </row>
    <row r="790">
      <c r="E790" s="62"/>
    </row>
    <row r="791">
      <c r="E791" s="62"/>
    </row>
    <row r="792">
      <c r="E792" s="62"/>
    </row>
    <row r="793">
      <c r="E793" s="62"/>
    </row>
    <row r="794">
      <c r="E794" s="62"/>
    </row>
    <row r="795">
      <c r="E795" s="62"/>
    </row>
    <row r="796">
      <c r="E796" s="62"/>
    </row>
    <row r="797">
      <c r="E797" s="62"/>
    </row>
    <row r="798">
      <c r="E798" s="62"/>
    </row>
    <row r="799">
      <c r="E799" s="62"/>
    </row>
    <row r="800">
      <c r="E800" s="62"/>
    </row>
    <row r="801">
      <c r="E801" s="62"/>
    </row>
    <row r="802">
      <c r="E802" s="62"/>
    </row>
    <row r="803">
      <c r="E803" s="62"/>
    </row>
    <row r="804">
      <c r="E804" s="62"/>
    </row>
    <row r="805">
      <c r="E805" s="62"/>
    </row>
    <row r="806">
      <c r="E806" s="62"/>
    </row>
    <row r="807">
      <c r="E807" s="62"/>
    </row>
    <row r="808">
      <c r="E808" s="62"/>
    </row>
    <row r="809">
      <c r="E809" s="62"/>
    </row>
    <row r="810">
      <c r="E810" s="62"/>
    </row>
    <row r="811">
      <c r="E811" s="62"/>
    </row>
    <row r="812">
      <c r="E812" s="62"/>
    </row>
    <row r="813">
      <c r="E813" s="62"/>
    </row>
    <row r="814">
      <c r="E814" s="62"/>
    </row>
    <row r="815">
      <c r="E815" s="62"/>
    </row>
    <row r="816">
      <c r="E816" s="62"/>
    </row>
    <row r="817">
      <c r="E817" s="62"/>
    </row>
    <row r="818">
      <c r="E818" s="62"/>
    </row>
    <row r="819">
      <c r="E819" s="62"/>
    </row>
    <row r="820">
      <c r="E820" s="62"/>
    </row>
    <row r="821">
      <c r="E821" s="62"/>
    </row>
    <row r="822">
      <c r="E822" s="62"/>
    </row>
    <row r="823">
      <c r="E823" s="62"/>
    </row>
    <row r="824">
      <c r="E824" s="62"/>
    </row>
    <row r="825">
      <c r="E825" s="62"/>
    </row>
    <row r="826">
      <c r="E826" s="62"/>
    </row>
    <row r="827">
      <c r="E827" s="62"/>
    </row>
    <row r="828">
      <c r="E828" s="62"/>
    </row>
    <row r="829">
      <c r="E829" s="62"/>
    </row>
    <row r="830">
      <c r="E830" s="62"/>
    </row>
    <row r="831">
      <c r="E831" s="62"/>
    </row>
    <row r="832">
      <c r="E832" s="62"/>
    </row>
    <row r="833">
      <c r="E833" s="62"/>
    </row>
    <row r="834">
      <c r="E834" s="62"/>
    </row>
    <row r="835">
      <c r="E835" s="62"/>
    </row>
    <row r="836">
      <c r="E836" s="62"/>
    </row>
    <row r="837">
      <c r="E837" s="62"/>
    </row>
    <row r="838">
      <c r="E838" s="62"/>
    </row>
    <row r="839">
      <c r="E839" s="62"/>
    </row>
    <row r="840">
      <c r="E840" s="62"/>
    </row>
    <row r="841">
      <c r="E841" s="62"/>
    </row>
    <row r="842">
      <c r="E842" s="62"/>
    </row>
    <row r="843">
      <c r="E843" s="62"/>
    </row>
    <row r="844">
      <c r="E844" s="62"/>
    </row>
    <row r="845">
      <c r="E845" s="62"/>
    </row>
    <row r="846">
      <c r="E846" s="62"/>
    </row>
    <row r="847">
      <c r="E847" s="62"/>
    </row>
    <row r="848">
      <c r="E848" s="62"/>
    </row>
    <row r="849">
      <c r="E849" s="62"/>
    </row>
    <row r="850">
      <c r="E850" s="62"/>
    </row>
    <row r="851">
      <c r="E851" s="62"/>
    </row>
    <row r="852">
      <c r="E852" s="62"/>
    </row>
    <row r="853">
      <c r="E853" s="62"/>
    </row>
    <row r="854">
      <c r="E854" s="62"/>
    </row>
    <row r="855">
      <c r="E855" s="62"/>
    </row>
    <row r="856">
      <c r="E856" s="62"/>
    </row>
    <row r="857">
      <c r="E857" s="62"/>
    </row>
    <row r="858">
      <c r="E858" s="62"/>
    </row>
    <row r="859">
      <c r="E859" s="62"/>
    </row>
    <row r="860">
      <c r="E860" s="62"/>
    </row>
    <row r="861">
      <c r="E861" s="62"/>
    </row>
    <row r="862">
      <c r="E862" s="62"/>
    </row>
    <row r="863">
      <c r="E863" s="62"/>
    </row>
    <row r="864">
      <c r="E864" s="62"/>
    </row>
    <row r="865">
      <c r="E865" s="62"/>
    </row>
    <row r="866">
      <c r="E866" s="62"/>
    </row>
    <row r="867">
      <c r="E867" s="62"/>
    </row>
    <row r="868">
      <c r="E868" s="62"/>
    </row>
    <row r="869">
      <c r="E869" s="62"/>
    </row>
    <row r="870">
      <c r="E870" s="62"/>
    </row>
    <row r="871">
      <c r="E871" s="62"/>
    </row>
    <row r="872">
      <c r="E872" s="62"/>
    </row>
    <row r="873">
      <c r="E873" s="62"/>
    </row>
    <row r="874">
      <c r="E874" s="62"/>
    </row>
    <row r="875">
      <c r="E875" s="62"/>
    </row>
    <row r="876">
      <c r="E876" s="62"/>
    </row>
    <row r="877">
      <c r="E877" s="62"/>
    </row>
    <row r="878">
      <c r="E878" s="62"/>
    </row>
    <row r="879">
      <c r="E879" s="62"/>
    </row>
    <row r="880">
      <c r="E880" s="62"/>
    </row>
    <row r="881">
      <c r="E881" s="62"/>
    </row>
    <row r="882">
      <c r="E882" s="62"/>
    </row>
    <row r="883">
      <c r="E883" s="62"/>
    </row>
    <row r="884">
      <c r="E884" s="62"/>
    </row>
    <row r="885">
      <c r="E885" s="62"/>
    </row>
    <row r="886">
      <c r="E886" s="62"/>
    </row>
    <row r="887">
      <c r="E887" s="62"/>
    </row>
    <row r="888">
      <c r="E888" s="62"/>
    </row>
    <row r="889">
      <c r="E889" s="62"/>
    </row>
    <row r="890">
      <c r="E890" s="62"/>
    </row>
    <row r="891">
      <c r="E891" s="62"/>
    </row>
    <row r="892">
      <c r="E892" s="62"/>
    </row>
    <row r="893">
      <c r="E893" s="62"/>
    </row>
    <row r="894">
      <c r="E894" s="62"/>
    </row>
    <row r="895">
      <c r="E895" s="62"/>
    </row>
    <row r="896">
      <c r="E896" s="62"/>
    </row>
    <row r="897">
      <c r="E897" s="62"/>
    </row>
    <row r="898">
      <c r="E898" s="62"/>
    </row>
    <row r="899">
      <c r="E899" s="62"/>
    </row>
    <row r="900">
      <c r="E900" s="62"/>
    </row>
    <row r="901">
      <c r="E901" s="62"/>
    </row>
    <row r="902">
      <c r="E902" s="62"/>
    </row>
    <row r="903">
      <c r="E903" s="62"/>
    </row>
    <row r="904">
      <c r="E904" s="62"/>
    </row>
    <row r="905">
      <c r="E905" s="62"/>
    </row>
    <row r="906">
      <c r="E906" s="62"/>
    </row>
    <row r="907">
      <c r="E907" s="62"/>
    </row>
    <row r="908">
      <c r="E908" s="62"/>
    </row>
    <row r="909">
      <c r="E909" s="62"/>
    </row>
    <row r="910">
      <c r="E910" s="62"/>
    </row>
    <row r="911">
      <c r="E911" s="62"/>
    </row>
    <row r="912">
      <c r="E912" s="62"/>
    </row>
    <row r="913">
      <c r="E913" s="62"/>
    </row>
    <row r="914">
      <c r="E914" s="62"/>
    </row>
    <row r="915">
      <c r="E915" s="62"/>
    </row>
    <row r="916">
      <c r="E916" s="62"/>
    </row>
    <row r="917">
      <c r="E917" s="62"/>
    </row>
    <row r="918">
      <c r="E918" s="62"/>
    </row>
    <row r="919">
      <c r="E919" s="62"/>
    </row>
    <row r="920">
      <c r="E920" s="62"/>
    </row>
    <row r="921">
      <c r="E921" s="62"/>
    </row>
    <row r="922">
      <c r="E922" s="62"/>
    </row>
    <row r="923">
      <c r="E923" s="62"/>
    </row>
    <row r="924">
      <c r="E924" s="62"/>
    </row>
    <row r="925">
      <c r="E925" s="62"/>
    </row>
    <row r="926">
      <c r="E926" s="62"/>
    </row>
    <row r="927">
      <c r="E927" s="62"/>
    </row>
    <row r="928">
      <c r="E928" s="62"/>
    </row>
    <row r="929">
      <c r="E929" s="62"/>
    </row>
    <row r="930">
      <c r="E930" s="62"/>
    </row>
    <row r="931">
      <c r="E931" s="62"/>
    </row>
    <row r="932">
      <c r="E932" s="62"/>
    </row>
    <row r="933">
      <c r="E933" s="62"/>
    </row>
    <row r="934">
      <c r="E934" s="62"/>
    </row>
    <row r="935">
      <c r="E935" s="62"/>
    </row>
    <row r="936">
      <c r="E936" s="62"/>
    </row>
    <row r="937">
      <c r="E937" s="62"/>
    </row>
    <row r="938">
      <c r="E938" s="62"/>
    </row>
    <row r="939">
      <c r="E939" s="62"/>
    </row>
    <row r="940">
      <c r="E940" s="62"/>
    </row>
    <row r="941">
      <c r="E941" s="62"/>
    </row>
    <row r="942">
      <c r="E942" s="62"/>
    </row>
    <row r="943">
      <c r="E943" s="62"/>
    </row>
    <row r="944">
      <c r="E944" s="62"/>
    </row>
    <row r="945">
      <c r="E945" s="62"/>
    </row>
    <row r="946">
      <c r="E946" s="62"/>
    </row>
    <row r="947">
      <c r="E947" s="62"/>
    </row>
    <row r="948">
      <c r="E948" s="62"/>
    </row>
    <row r="949">
      <c r="E949" s="62"/>
    </row>
    <row r="950">
      <c r="E950" s="62"/>
    </row>
    <row r="951">
      <c r="E951" s="62"/>
    </row>
    <row r="952">
      <c r="E952" s="62"/>
    </row>
    <row r="953">
      <c r="E953" s="62"/>
    </row>
    <row r="954">
      <c r="E954" s="62"/>
    </row>
    <row r="955">
      <c r="E955" s="62"/>
    </row>
    <row r="956">
      <c r="E956" s="62"/>
    </row>
    <row r="957">
      <c r="E957" s="62"/>
    </row>
    <row r="958">
      <c r="E958" s="62"/>
    </row>
    <row r="959">
      <c r="E959" s="62"/>
    </row>
    <row r="960">
      <c r="E960" s="62"/>
    </row>
    <row r="961">
      <c r="E961" s="62"/>
    </row>
    <row r="962">
      <c r="E962" s="62"/>
    </row>
    <row r="963">
      <c r="E963" s="62"/>
    </row>
    <row r="964">
      <c r="E964" s="62"/>
    </row>
    <row r="965">
      <c r="E965" s="62"/>
    </row>
    <row r="966">
      <c r="E966" s="62"/>
    </row>
    <row r="967">
      <c r="E967" s="62"/>
    </row>
    <row r="968">
      <c r="E968" s="62"/>
    </row>
    <row r="969">
      <c r="E969" s="62"/>
    </row>
    <row r="970">
      <c r="E970" s="62"/>
    </row>
    <row r="971">
      <c r="E971" s="62"/>
    </row>
    <row r="972">
      <c r="E972" s="62"/>
    </row>
    <row r="973">
      <c r="E973" s="62"/>
    </row>
    <row r="974">
      <c r="E974" s="62"/>
    </row>
    <row r="975">
      <c r="E975" s="62"/>
    </row>
    <row r="976">
      <c r="E976" s="62"/>
    </row>
    <row r="977">
      <c r="E977" s="62"/>
    </row>
    <row r="978">
      <c r="E978" s="62"/>
    </row>
    <row r="979">
      <c r="E979" s="62"/>
    </row>
    <row r="980">
      <c r="E980" s="62"/>
    </row>
    <row r="981">
      <c r="E981" s="62"/>
    </row>
    <row r="982">
      <c r="E982" s="62"/>
    </row>
    <row r="983">
      <c r="E983" s="62"/>
    </row>
    <row r="984">
      <c r="E984" s="62"/>
    </row>
    <row r="985">
      <c r="E985" s="62"/>
    </row>
    <row r="986">
      <c r="E986" s="62"/>
    </row>
    <row r="987">
      <c r="E987" s="62"/>
    </row>
    <row r="988">
      <c r="E988" s="62"/>
    </row>
    <row r="989">
      <c r="E989" s="62"/>
    </row>
    <row r="990">
      <c r="E990" s="62"/>
    </row>
    <row r="991">
      <c r="E991" s="62"/>
    </row>
    <row r="992">
      <c r="E992" s="62"/>
    </row>
    <row r="993">
      <c r="E993" s="62"/>
    </row>
    <row r="994">
      <c r="E994" s="62"/>
    </row>
    <row r="995">
      <c r="E995" s="62"/>
    </row>
    <row r="996">
      <c r="E996" s="62"/>
    </row>
    <row r="997">
      <c r="E997" s="62"/>
    </row>
    <row r="998">
      <c r="E998" s="62"/>
    </row>
    <row r="999">
      <c r="E999" s="62"/>
    </row>
    <row r="1000">
      <c r="E1000" s="62"/>
    </row>
    <row r="1001">
      <c r="E1001" s="62"/>
    </row>
    <row r="1002">
      <c r="E1002" s="62"/>
    </row>
    <row r="1003">
      <c r="E1003" s="62"/>
    </row>
    <row r="1004">
      <c r="E1004" s="62"/>
    </row>
    <row r="1005">
      <c r="E1005" s="62"/>
    </row>
    <row r="1006">
      <c r="E1006" s="62"/>
    </row>
    <row r="1007">
      <c r="E1007" s="62"/>
    </row>
    <row r="1008">
      <c r="E1008" s="62"/>
    </row>
    <row r="1009">
      <c r="E1009" s="62"/>
    </row>
    <row r="1010">
      <c r="E1010" s="62"/>
    </row>
    <row r="1011">
      <c r="E1011" s="62"/>
    </row>
    <row r="1012">
      <c r="E1012" s="62"/>
    </row>
    <row r="1013">
      <c r="E1013" s="62"/>
    </row>
    <row r="1014">
      <c r="E1014" s="62"/>
    </row>
    <row r="1015">
      <c r="E1015" s="62"/>
    </row>
    <row r="1016">
      <c r="E1016" s="62"/>
    </row>
    <row r="1017">
      <c r="E1017" s="62"/>
    </row>
    <row r="1018">
      <c r="E1018" s="62"/>
    </row>
    <row r="1019">
      <c r="E1019" s="62"/>
    </row>
    <row r="1020">
      <c r="E1020" s="62"/>
    </row>
    <row r="1021">
      <c r="E1021" s="62"/>
    </row>
    <row r="1022">
      <c r="E1022" s="62"/>
    </row>
    <row r="1023">
      <c r="E1023" s="62"/>
    </row>
    <row r="1024">
      <c r="E1024" s="62"/>
    </row>
    <row r="1025">
      <c r="E1025" s="62"/>
    </row>
    <row r="1026">
      <c r="E1026" s="62"/>
    </row>
    <row r="1027">
      <c r="E1027" s="62"/>
    </row>
    <row r="1028">
      <c r="E1028" s="62"/>
    </row>
    <row r="1029">
      <c r="E1029" s="62"/>
    </row>
    <row r="1030">
      <c r="E1030" s="62"/>
    </row>
    <row r="1031">
      <c r="E1031" s="62"/>
    </row>
    <row r="1032">
      <c r="E1032" s="62"/>
    </row>
    <row r="1033">
      <c r="E1033" s="62"/>
    </row>
    <row r="1034">
      <c r="E1034" s="62"/>
    </row>
    <row r="1035">
      <c r="E1035" s="62"/>
    </row>
    <row r="1036">
      <c r="E1036" s="62"/>
    </row>
    <row r="1037">
      <c r="E1037" s="62"/>
    </row>
    <row r="1038">
      <c r="E1038" s="62"/>
    </row>
    <row r="1039">
      <c r="E1039" s="62"/>
    </row>
    <row r="1040">
      <c r="E1040" s="62"/>
    </row>
    <row r="1041">
      <c r="E1041" s="62"/>
    </row>
    <row r="1042">
      <c r="E1042" s="62"/>
    </row>
    <row r="1043">
      <c r="E1043" s="62"/>
    </row>
    <row r="1044">
      <c r="E1044" s="62"/>
    </row>
    <row r="1045">
      <c r="E1045" s="62"/>
    </row>
    <row r="1046">
      <c r="E1046" s="62"/>
    </row>
    <row r="1047">
      <c r="E1047" s="62"/>
    </row>
    <row r="1048">
      <c r="E1048" s="62"/>
    </row>
    <row r="1049">
      <c r="E1049" s="62"/>
    </row>
    <row r="1050">
      <c r="E1050" s="62"/>
    </row>
    <row r="1051">
      <c r="E1051" s="62"/>
    </row>
    <row r="1052">
      <c r="E1052" s="62"/>
    </row>
    <row r="1053">
      <c r="E1053" s="62"/>
    </row>
    <row r="1054">
      <c r="E1054" s="62"/>
    </row>
    <row r="1055">
      <c r="E1055" s="62"/>
    </row>
    <row r="1056">
      <c r="E1056" s="62"/>
    </row>
    <row r="1057">
      <c r="E1057" s="62"/>
    </row>
    <row r="1058">
      <c r="E1058" s="62"/>
    </row>
    <row r="1059">
      <c r="E1059" s="62"/>
    </row>
    <row r="1060">
      <c r="E1060" s="62"/>
    </row>
    <row r="1061">
      <c r="E1061" s="62"/>
    </row>
    <row r="1062">
      <c r="E1062" s="62"/>
    </row>
    <row r="1063">
      <c r="E1063" s="62"/>
    </row>
    <row r="1064">
      <c r="E1064" s="62"/>
    </row>
    <row r="1065">
      <c r="E1065" s="62"/>
    </row>
    <row r="1066">
      <c r="E1066" s="62"/>
    </row>
    <row r="1067">
      <c r="E1067" s="62"/>
    </row>
    <row r="1068">
      <c r="E1068" s="62"/>
    </row>
    <row r="1069">
      <c r="E1069" s="62"/>
    </row>
    <row r="1070">
      <c r="E1070" s="62"/>
    </row>
    <row r="1071">
      <c r="E1071" s="62"/>
    </row>
    <row r="1072">
      <c r="E1072" s="62"/>
    </row>
    <row r="1073">
      <c r="E1073" s="62"/>
    </row>
    <row r="1074">
      <c r="E1074" s="62"/>
    </row>
    <row r="1075">
      <c r="E1075" s="62"/>
    </row>
    <row r="1076">
      <c r="E1076" s="62"/>
    </row>
    <row r="1077">
      <c r="E1077" s="62"/>
    </row>
    <row r="1078">
      <c r="E1078" s="62"/>
    </row>
    <row r="1079">
      <c r="E1079" s="62"/>
    </row>
    <row r="1080">
      <c r="E1080" s="62"/>
    </row>
    <row r="1081">
      <c r="E1081" s="62"/>
    </row>
    <row r="1082">
      <c r="E1082" s="62"/>
    </row>
    <row r="1083">
      <c r="E1083" s="62"/>
    </row>
    <row r="1084">
      <c r="E1084" s="62"/>
    </row>
    <row r="1085">
      <c r="E1085" s="62"/>
    </row>
    <row r="1086">
      <c r="E1086" s="62"/>
    </row>
    <row r="1087">
      <c r="E1087" s="62"/>
    </row>
    <row r="1088">
      <c r="E1088" s="62"/>
    </row>
    <row r="1089">
      <c r="E1089" s="62"/>
    </row>
    <row r="1090">
      <c r="E1090" s="62"/>
    </row>
    <row r="1091">
      <c r="E1091" s="62"/>
    </row>
    <row r="1092">
      <c r="E1092" s="62"/>
    </row>
    <row r="1093">
      <c r="E1093" s="62"/>
    </row>
    <row r="1094">
      <c r="E1094" s="62"/>
    </row>
  </sheetData>
  <autoFilter ref="$A$2:$R$296"/>
  <mergeCells count="1">
    <mergeCell ref="A1:G1"/>
  </mergeCells>
  <hyperlinks>
    <hyperlink r:id="rId1" ref="E3"/>
    <hyperlink r:id="rId2" ref="E4"/>
    <hyperlink r:id="rId3" ref="E7"/>
    <hyperlink r:id="rId4" ref="E8"/>
    <hyperlink r:id="rId5" ref="E9"/>
    <hyperlink r:id="rId6" ref="E10"/>
    <hyperlink r:id="rId7" ref="E11"/>
    <hyperlink r:id="rId8" ref="E12"/>
    <hyperlink r:id="rId9" ref="E13"/>
    <hyperlink r:id="rId10" ref="E14"/>
    <hyperlink r:id="rId11" ref="E15"/>
    <hyperlink r:id="rId12" ref="E16"/>
    <hyperlink r:id="rId13" ref="E17"/>
    <hyperlink r:id="rId14" ref="E18"/>
    <hyperlink r:id="rId15" ref="E19"/>
    <hyperlink r:id="rId16" ref="E20"/>
    <hyperlink r:id="rId17" ref="E21"/>
    <hyperlink r:id="rId18" ref="E22"/>
    <hyperlink r:id="rId19" ref="E23"/>
    <hyperlink r:id="rId20" ref="E24"/>
    <hyperlink r:id="rId21" ref="E25"/>
    <hyperlink r:id="rId22" ref="E26"/>
    <hyperlink r:id="rId23" ref="E27"/>
    <hyperlink r:id="rId24" ref="E28"/>
    <hyperlink r:id="rId25" ref="E29"/>
    <hyperlink r:id="rId26" ref="E30"/>
    <hyperlink r:id="rId27" ref="E31"/>
    <hyperlink r:id="rId28" ref="E32"/>
    <hyperlink r:id="rId29" ref="E33"/>
    <hyperlink r:id="rId30" ref="E34"/>
    <hyperlink r:id="rId31" ref="E35"/>
    <hyperlink r:id="rId32" ref="E36"/>
    <hyperlink r:id="rId33" ref="E37"/>
    <hyperlink r:id="rId34" ref="E38"/>
    <hyperlink r:id="rId35" ref="E39"/>
    <hyperlink r:id="rId36" ref="E40"/>
    <hyperlink r:id="rId37" ref="E41"/>
    <hyperlink r:id="rId38" ref="E42"/>
    <hyperlink r:id="rId39" ref="E43"/>
    <hyperlink r:id="rId40" ref="E44"/>
    <hyperlink r:id="rId41" ref="E45"/>
    <hyperlink r:id="rId42" ref="E46"/>
    <hyperlink r:id="rId43" ref="E47"/>
    <hyperlink r:id="rId44" ref="E48"/>
    <hyperlink r:id="rId45" ref="E49"/>
    <hyperlink r:id="rId46" ref="E50"/>
    <hyperlink r:id="rId47" ref="E51"/>
    <hyperlink r:id="rId48" ref="E53"/>
    <hyperlink r:id="rId49" ref="E54"/>
    <hyperlink r:id="rId50" ref="E55"/>
    <hyperlink r:id="rId51" ref="E56"/>
    <hyperlink r:id="rId52" ref="E57"/>
    <hyperlink r:id="rId53" ref="E58"/>
    <hyperlink r:id="rId54" ref="E59"/>
    <hyperlink r:id="rId55" ref="E60"/>
    <hyperlink r:id="rId56" ref="E61"/>
    <hyperlink r:id="rId57" ref="E62"/>
    <hyperlink r:id="rId58" ref="E63"/>
    <hyperlink r:id="rId59" ref="E64"/>
    <hyperlink r:id="rId60" ref="E65"/>
    <hyperlink r:id="rId61" ref="E66"/>
    <hyperlink r:id="rId62" ref="E67"/>
    <hyperlink r:id="rId63" ref="E68"/>
    <hyperlink r:id="rId64" ref="E69"/>
    <hyperlink r:id="rId65" ref="E70"/>
    <hyperlink r:id="rId66" ref="E71"/>
    <hyperlink r:id="rId67" ref="E72"/>
    <hyperlink r:id="rId68" ref="D73"/>
    <hyperlink r:id="rId69" ref="E73"/>
    <hyperlink r:id="rId70" ref="E74"/>
    <hyperlink r:id="rId71" ref="E75"/>
    <hyperlink r:id="rId72" ref="E76"/>
    <hyperlink r:id="rId73" ref="E77"/>
    <hyperlink r:id="rId74" ref="E78"/>
    <hyperlink r:id="rId75" ref="E79"/>
    <hyperlink r:id="rId76" ref="E80"/>
    <hyperlink r:id="rId77" ref="E81"/>
    <hyperlink r:id="rId78" ref="E82"/>
    <hyperlink r:id="rId79" ref="E83"/>
    <hyperlink r:id="rId80" ref="E84"/>
    <hyperlink r:id="rId81" ref="E85"/>
    <hyperlink r:id="rId82" ref="E86"/>
    <hyperlink r:id="rId83" ref="E87"/>
    <hyperlink r:id="rId84" ref="E88"/>
    <hyperlink r:id="rId85" ref="E89"/>
    <hyperlink r:id="rId86" ref="E90"/>
    <hyperlink r:id="rId87" ref="E91"/>
    <hyperlink r:id="rId88" ref="E92"/>
    <hyperlink r:id="rId89" ref="E93"/>
    <hyperlink r:id="rId90" ref="E94"/>
    <hyperlink r:id="rId91" ref="E95"/>
    <hyperlink r:id="rId92" ref="E96"/>
    <hyperlink r:id="rId93" ref="E97"/>
    <hyperlink r:id="rId94" ref="E98"/>
    <hyperlink r:id="rId95" ref="E99"/>
    <hyperlink r:id="rId96" ref="E100"/>
    <hyperlink r:id="rId97" ref="E101"/>
    <hyperlink r:id="rId98" ref="E102"/>
    <hyperlink r:id="rId99" ref="E103"/>
    <hyperlink r:id="rId100" ref="E104"/>
    <hyperlink r:id="rId101" ref="E105"/>
    <hyperlink r:id="rId102" ref="E106"/>
    <hyperlink r:id="rId103" ref="E107"/>
    <hyperlink r:id="rId104" ref="E108"/>
    <hyperlink r:id="rId105" ref="E109"/>
    <hyperlink r:id="rId106" ref="E110"/>
    <hyperlink r:id="rId107" ref="E111"/>
    <hyperlink r:id="rId108" ref="E112"/>
    <hyperlink r:id="rId109" ref="E113"/>
    <hyperlink r:id="rId110" ref="E114"/>
    <hyperlink r:id="rId111" ref="E115"/>
    <hyperlink r:id="rId112" ref="E116"/>
    <hyperlink r:id="rId113" ref="E117"/>
    <hyperlink r:id="rId114" ref="E118"/>
    <hyperlink r:id="rId115" ref="E119"/>
    <hyperlink r:id="rId116" ref="E120"/>
    <hyperlink r:id="rId117" ref="E121"/>
    <hyperlink r:id="rId118" ref="E122"/>
    <hyperlink r:id="rId119" ref="E123"/>
    <hyperlink r:id="rId120" ref="E124"/>
    <hyperlink r:id="rId121" ref="E125"/>
    <hyperlink r:id="rId122" ref="E126"/>
    <hyperlink r:id="rId123" ref="E127"/>
    <hyperlink r:id="rId124" ref="E128"/>
    <hyperlink r:id="rId125" ref="E129"/>
    <hyperlink r:id="rId126" ref="E130"/>
    <hyperlink r:id="rId127" ref="E131"/>
    <hyperlink r:id="rId128" ref="E132"/>
    <hyperlink r:id="rId129" ref="E133"/>
    <hyperlink r:id="rId130" ref="E134"/>
    <hyperlink r:id="rId131" ref="E135"/>
    <hyperlink r:id="rId132" ref="E136"/>
    <hyperlink r:id="rId133" ref="E137"/>
    <hyperlink r:id="rId134" ref="E138"/>
    <hyperlink r:id="rId135" ref="E139"/>
    <hyperlink r:id="rId136" ref="E140"/>
    <hyperlink r:id="rId137" ref="E141"/>
    <hyperlink r:id="rId138" ref="E142"/>
    <hyperlink r:id="rId139" ref="E143"/>
    <hyperlink r:id="rId140" ref="E144"/>
    <hyperlink r:id="rId141" ref="E145"/>
    <hyperlink r:id="rId142" ref="E146"/>
    <hyperlink r:id="rId143" ref="E147"/>
    <hyperlink r:id="rId144" ref="E148"/>
    <hyperlink r:id="rId145" location="page=100" ref="E149"/>
    <hyperlink r:id="rId146" ref="E150"/>
    <hyperlink r:id="rId147" ref="E151"/>
    <hyperlink r:id="rId148" ref="E152"/>
    <hyperlink r:id="rId149" ref="E153"/>
    <hyperlink r:id="rId150" ref="E154"/>
    <hyperlink r:id="rId151" ref="E155"/>
    <hyperlink r:id="rId152" ref="E156"/>
    <hyperlink r:id="rId153" ref="E157"/>
    <hyperlink r:id="rId154" ref="E158"/>
    <hyperlink r:id="rId155" ref="E159"/>
    <hyperlink r:id="rId156" ref="E160"/>
    <hyperlink r:id="rId157" ref="E161"/>
    <hyperlink r:id="rId158" ref="E162"/>
    <hyperlink r:id="rId159" ref="E163"/>
    <hyperlink r:id="rId160" ref="E164"/>
    <hyperlink r:id="rId161" ref="E166"/>
    <hyperlink r:id="rId162" ref="E167"/>
    <hyperlink r:id="rId163" ref="E168"/>
    <hyperlink r:id="rId164" ref="E169"/>
    <hyperlink r:id="rId165" ref="E170"/>
    <hyperlink r:id="rId166" ref="E171"/>
    <hyperlink r:id="rId167" ref="E172"/>
    <hyperlink r:id="rId168" ref="E173"/>
    <hyperlink r:id="rId169" ref="E174"/>
    <hyperlink r:id="rId170" ref="E175"/>
    <hyperlink r:id="rId171" ref="E176"/>
    <hyperlink r:id="rId172" ref="E177"/>
    <hyperlink r:id="rId173" ref="E178"/>
    <hyperlink r:id="rId174" ref="E179"/>
    <hyperlink r:id="rId175" ref="E180"/>
    <hyperlink r:id="rId176" ref="E181"/>
    <hyperlink r:id="rId177" ref="E182"/>
    <hyperlink r:id="rId178" ref="E183"/>
    <hyperlink r:id="rId179" ref="E184"/>
    <hyperlink r:id="rId180" ref="E185"/>
    <hyperlink r:id="rId181" ref="E186"/>
    <hyperlink r:id="rId182" ref="E187"/>
    <hyperlink r:id="rId183" ref="E188"/>
    <hyperlink r:id="rId184" ref="E189"/>
    <hyperlink r:id="rId185" ref="E190"/>
    <hyperlink r:id="rId186" ref="E191"/>
    <hyperlink r:id="rId187" ref="E192"/>
    <hyperlink r:id="rId188" ref="E193"/>
    <hyperlink r:id="rId189" ref="E194"/>
    <hyperlink r:id="rId190" ref="E195"/>
    <hyperlink r:id="rId191" ref="E196"/>
    <hyperlink r:id="rId192" ref="E197"/>
    <hyperlink r:id="rId193" ref="E198"/>
    <hyperlink r:id="rId194" ref="E199"/>
    <hyperlink r:id="rId195" ref="E200"/>
    <hyperlink r:id="rId196" ref="E201"/>
    <hyperlink r:id="rId197" ref="E202"/>
    <hyperlink r:id="rId198" ref="E203"/>
    <hyperlink r:id="rId199" ref="E204"/>
    <hyperlink r:id="rId200" ref="E205"/>
    <hyperlink r:id="rId201" ref="E206"/>
    <hyperlink r:id="rId202" ref="E207"/>
    <hyperlink r:id="rId203" ref="E208"/>
    <hyperlink r:id="rId204" ref="E209"/>
    <hyperlink r:id="rId205" ref="E210"/>
    <hyperlink r:id="rId206" ref="E211"/>
    <hyperlink r:id="rId207" ref="E212"/>
    <hyperlink r:id="rId208" ref="E213"/>
    <hyperlink r:id="rId209" ref="E214"/>
    <hyperlink r:id="rId210" ref="E215"/>
    <hyperlink r:id="rId211" ref="E216"/>
    <hyperlink r:id="rId212" ref="E217"/>
    <hyperlink r:id="rId213" ref="E218"/>
    <hyperlink r:id="rId214" ref="E219"/>
    <hyperlink r:id="rId215" ref="E220"/>
    <hyperlink r:id="rId216" ref="E221"/>
    <hyperlink r:id="rId217" ref="E222"/>
    <hyperlink r:id="rId218" ref="E223"/>
    <hyperlink r:id="rId219" ref="E224"/>
    <hyperlink r:id="rId220" ref="E225"/>
    <hyperlink r:id="rId221" ref="E226"/>
    <hyperlink r:id="rId222" ref="E227"/>
    <hyperlink r:id="rId223" ref="E228"/>
    <hyperlink r:id="rId224" ref="E229"/>
    <hyperlink r:id="rId225" ref="E230"/>
    <hyperlink r:id="rId226" ref="E231"/>
    <hyperlink r:id="rId227" ref="E232"/>
    <hyperlink r:id="rId228" ref="E233"/>
    <hyperlink r:id="rId229" ref="E234"/>
    <hyperlink r:id="rId230" ref="E235"/>
    <hyperlink r:id="rId231" ref="E236"/>
    <hyperlink r:id="rId232" ref="E237"/>
    <hyperlink r:id="rId233" ref="E238"/>
    <hyperlink r:id="rId234" ref="E239"/>
    <hyperlink r:id="rId235" ref="E240"/>
    <hyperlink r:id="rId236" ref="E241"/>
    <hyperlink r:id="rId237" ref="E242"/>
    <hyperlink r:id="rId238" ref="E243"/>
    <hyperlink r:id="rId239" ref="E244"/>
    <hyperlink r:id="rId240" ref="E245"/>
    <hyperlink r:id="rId241" location="page=46" ref="E246"/>
    <hyperlink r:id="rId242" ref="E247"/>
    <hyperlink r:id="rId243" ref="E248"/>
    <hyperlink r:id="rId244" ref="E249"/>
    <hyperlink r:id="rId245" ref="E250"/>
    <hyperlink r:id="rId246" ref="E251"/>
    <hyperlink r:id="rId247" ref="E252"/>
    <hyperlink r:id="rId248" ref="E253"/>
    <hyperlink r:id="rId249" ref="E254"/>
    <hyperlink r:id="rId250" ref="E255"/>
    <hyperlink r:id="rId251" ref="E256"/>
    <hyperlink r:id="rId252" ref="E257"/>
    <hyperlink r:id="rId253" ref="E258"/>
    <hyperlink r:id="rId254" ref="E259"/>
    <hyperlink r:id="rId255" ref="E260"/>
    <hyperlink r:id="rId256" ref="E261"/>
    <hyperlink r:id="rId257" ref="E262"/>
    <hyperlink r:id="rId258" ref="E263"/>
    <hyperlink r:id="rId259" ref="E264"/>
    <hyperlink r:id="rId260" ref="E265"/>
    <hyperlink r:id="rId261" ref="E266"/>
    <hyperlink r:id="rId262" ref="E267"/>
    <hyperlink r:id="rId263" ref="E269"/>
    <hyperlink r:id="rId264" ref="E270"/>
    <hyperlink r:id="rId265" ref="E271"/>
    <hyperlink r:id="rId266" ref="E272"/>
    <hyperlink r:id="rId267" ref="E273"/>
    <hyperlink r:id="rId268" ref="E274"/>
    <hyperlink r:id="rId269" ref="E275"/>
    <hyperlink r:id="rId270" ref="E276"/>
    <hyperlink r:id="rId271" ref="E277"/>
    <hyperlink r:id="rId272" ref="E278"/>
    <hyperlink r:id="rId273" ref="E279"/>
    <hyperlink r:id="rId274" ref="E280"/>
    <hyperlink r:id="rId275" ref="E281"/>
    <hyperlink r:id="rId276" ref="E282"/>
    <hyperlink r:id="rId277" ref="E283"/>
    <hyperlink r:id="rId278" ref="E284"/>
    <hyperlink r:id="rId279" ref="E285"/>
    <hyperlink r:id="rId280" ref="E286"/>
    <hyperlink r:id="rId281" ref="E287"/>
    <hyperlink r:id="rId282" ref="E288"/>
    <hyperlink r:id="rId283" ref="E289"/>
    <hyperlink r:id="rId284" ref="E290"/>
    <hyperlink r:id="rId285" ref="E291"/>
  </hyperlinks>
  <drawing r:id="rId28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5" max="5" width="12.5"/>
    <col customWidth="1" min="11" max="11" width="6.5"/>
    <col customWidth="1" min="12" max="12" width="6.75"/>
    <col customWidth="1" min="13" max="13" width="8.38"/>
    <col customWidth="1" min="14" max="14" width="6.63"/>
    <col customWidth="1" min="15" max="15" width="11.25"/>
  </cols>
  <sheetData>
    <row r="1">
      <c r="A1" s="34" t="s">
        <v>163</v>
      </c>
    </row>
    <row r="2">
      <c r="A2" s="2" t="s">
        <v>164</v>
      </c>
      <c r="B2" s="47" t="s">
        <v>165</v>
      </c>
      <c r="C2" s="47" t="s">
        <v>166</v>
      </c>
      <c r="D2" s="47" t="s">
        <v>167</v>
      </c>
      <c r="E2" s="48" t="s">
        <v>168</v>
      </c>
      <c r="F2" s="49" t="s">
        <v>169</v>
      </c>
      <c r="G2" s="49" t="s">
        <v>170</v>
      </c>
      <c r="H2" s="49" t="s">
        <v>171</v>
      </c>
      <c r="I2" s="49" t="s">
        <v>172</v>
      </c>
      <c r="J2" s="49" t="s">
        <v>1042</v>
      </c>
      <c r="K2" s="51" t="s">
        <v>174</v>
      </c>
      <c r="L2" s="51" t="s">
        <v>175</v>
      </c>
      <c r="M2" s="51" t="s">
        <v>176</v>
      </c>
      <c r="N2" s="51" t="s">
        <v>177</v>
      </c>
      <c r="O2" s="80" t="s">
        <v>1043</v>
      </c>
      <c r="P2" s="52" t="s">
        <v>178</v>
      </c>
      <c r="Q2" s="81" t="s">
        <v>179</v>
      </c>
      <c r="R2" s="53" t="s">
        <v>180</v>
      </c>
    </row>
    <row r="3">
      <c r="A3" s="3">
        <v>9.0</v>
      </c>
      <c r="B3" s="82" t="s">
        <v>1044</v>
      </c>
      <c r="C3" s="83">
        <v>2016.0</v>
      </c>
      <c r="D3" s="82" t="s">
        <v>1045</v>
      </c>
      <c r="E3" s="84" t="s">
        <v>1046</v>
      </c>
      <c r="F3" s="60"/>
      <c r="G3" s="60"/>
      <c r="H3" s="60"/>
      <c r="I3" s="60"/>
      <c r="J3" s="60"/>
      <c r="K3" s="58"/>
      <c r="L3" s="58"/>
      <c r="M3" s="58"/>
      <c r="N3" s="59" t="s">
        <v>11</v>
      </c>
      <c r="O3" s="58"/>
      <c r="P3" s="58"/>
      <c r="Q3" s="3"/>
      <c r="R3" s="3" t="s">
        <v>185</v>
      </c>
      <c r="Y3" s="85">
        <f t="shared" ref="Y3:Y305" si="1">COUNTIF(E:E, E3)</f>
        <v>1</v>
      </c>
    </row>
    <row r="4">
      <c r="A4" s="3">
        <v>5.0</v>
      </c>
      <c r="B4" s="82" t="s">
        <v>1047</v>
      </c>
      <c r="C4" s="83">
        <v>1998.0</v>
      </c>
      <c r="D4" s="82" t="s">
        <v>1048</v>
      </c>
      <c r="E4" s="86" t="s">
        <v>1049</v>
      </c>
      <c r="J4" s="3" t="s">
        <v>11</v>
      </c>
      <c r="Q4" s="3"/>
      <c r="R4" s="3" t="s">
        <v>185</v>
      </c>
      <c r="Y4" s="85">
        <f t="shared" si="1"/>
        <v>1</v>
      </c>
    </row>
    <row r="5">
      <c r="A5" s="87">
        <v>41887.0</v>
      </c>
      <c r="B5" s="82" t="s">
        <v>1050</v>
      </c>
      <c r="C5" s="83">
        <v>2004.0</v>
      </c>
      <c r="D5" s="82" t="s">
        <v>1051</v>
      </c>
      <c r="E5" s="88" t="s">
        <v>1052</v>
      </c>
      <c r="J5" s="3" t="s">
        <v>11</v>
      </c>
      <c r="Q5" s="3"/>
      <c r="R5" s="3" t="s">
        <v>185</v>
      </c>
      <c r="Y5" s="85">
        <f t="shared" si="1"/>
        <v>1</v>
      </c>
    </row>
    <row r="6">
      <c r="A6" s="3">
        <v>3.0</v>
      </c>
      <c r="B6" s="82" t="s">
        <v>1053</v>
      </c>
      <c r="C6" s="82">
        <v>2009.0</v>
      </c>
      <c r="D6" s="82" t="s">
        <v>1054</v>
      </c>
      <c r="E6" s="89" t="s">
        <v>1055</v>
      </c>
      <c r="J6" s="3" t="s">
        <v>11</v>
      </c>
      <c r="Q6" s="3"/>
      <c r="R6" s="3" t="s">
        <v>185</v>
      </c>
      <c r="Y6" s="85">
        <f t="shared" si="1"/>
        <v>1</v>
      </c>
    </row>
    <row r="7">
      <c r="A7" s="3">
        <v>3.0</v>
      </c>
      <c r="B7" s="82" t="s">
        <v>1056</v>
      </c>
      <c r="C7" s="90"/>
      <c r="D7" s="82" t="s">
        <v>1057</v>
      </c>
      <c r="E7" s="88" t="s">
        <v>1058</v>
      </c>
      <c r="F7" s="61" t="s">
        <v>11</v>
      </c>
      <c r="G7" s="60"/>
      <c r="H7" s="60"/>
      <c r="I7" s="60"/>
      <c r="J7" s="60"/>
      <c r="K7" s="58"/>
      <c r="L7" s="58"/>
      <c r="M7" s="58"/>
      <c r="N7" s="58"/>
      <c r="O7" s="58"/>
      <c r="P7" s="58"/>
      <c r="Q7" s="3"/>
      <c r="R7" s="3" t="s">
        <v>185</v>
      </c>
      <c r="Y7" s="85">
        <f t="shared" si="1"/>
        <v>1</v>
      </c>
    </row>
    <row r="8">
      <c r="A8" s="3">
        <v>3.0</v>
      </c>
      <c r="B8" s="82" t="s">
        <v>1059</v>
      </c>
      <c r="C8" s="90"/>
      <c r="D8" s="82" t="s">
        <v>1060</v>
      </c>
      <c r="E8" s="88" t="s">
        <v>1061</v>
      </c>
      <c r="F8" s="61" t="s">
        <v>11</v>
      </c>
      <c r="G8" s="60"/>
      <c r="H8" s="60"/>
      <c r="I8" s="60"/>
      <c r="J8" s="60"/>
      <c r="K8" s="58"/>
      <c r="L8" s="58"/>
      <c r="M8" s="58"/>
      <c r="N8" s="58"/>
      <c r="O8" s="58"/>
      <c r="P8" s="58"/>
      <c r="Q8" s="3"/>
      <c r="R8" s="3" t="s">
        <v>185</v>
      </c>
      <c r="Y8" s="85">
        <f t="shared" si="1"/>
        <v>1</v>
      </c>
    </row>
    <row r="9">
      <c r="A9" s="3">
        <v>3.0</v>
      </c>
      <c r="B9" s="82" t="s">
        <v>1062</v>
      </c>
      <c r="C9" s="82">
        <v>2010.0</v>
      </c>
      <c r="D9" s="82" t="s">
        <v>1063</v>
      </c>
      <c r="E9" s="88" t="s">
        <v>1064</v>
      </c>
      <c r="J9" s="3" t="s">
        <v>11</v>
      </c>
      <c r="Q9" s="3"/>
      <c r="R9" s="3" t="s">
        <v>185</v>
      </c>
      <c r="Y9" s="85">
        <f t="shared" si="1"/>
        <v>1</v>
      </c>
    </row>
    <row r="10">
      <c r="A10" s="3">
        <v>3.0</v>
      </c>
      <c r="B10" s="82" t="s">
        <v>1065</v>
      </c>
      <c r="C10" s="83">
        <v>2000.0</v>
      </c>
      <c r="D10" s="82" t="s">
        <v>1066</v>
      </c>
      <c r="E10" s="84" t="s">
        <v>1067</v>
      </c>
      <c r="J10" s="3" t="s">
        <v>11</v>
      </c>
      <c r="Q10" s="3"/>
      <c r="R10" s="3" t="s">
        <v>185</v>
      </c>
      <c r="Y10" s="85">
        <f t="shared" si="1"/>
        <v>1</v>
      </c>
    </row>
    <row r="11">
      <c r="A11" s="3">
        <v>3.0</v>
      </c>
      <c r="B11" s="82" t="s">
        <v>1068</v>
      </c>
      <c r="C11" s="83">
        <v>2010.0</v>
      </c>
      <c r="D11" s="82" t="s">
        <v>1069</v>
      </c>
      <c r="E11" s="84" t="s">
        <v>1070</v>
      </c>
      <c r="J11" s="3" t="s">
        <v>11</v>
      </c>
      <c r="Q11" s="3"/>
      <c r="R11" s="3" t="s">
        <v>185</v>
      </c>
      <c r="Y11" s="85">
        <f t="shared" si="1"/>
        <v>1</v>
      </c>
    </row>
    <row r="12">
      <c r="A12" s="87">
        <v>14003.0</v>
      </c>
      <c r="B12" s="82" t="s">
        <v>1071</v>
      </c>
      <c r="C12" s="83">
        <v>2003.0</v>
      </c>
      <c r="D12" s="82" t="s">
        <v>1072</v>
      </c>
      <c r="E12" s="84" t="s">
        <v>1073</v>
      </c>
      <c r="J12" s="3" t="s">
        <v>11</v>
      </c>
      <c r="Q12" s="3"/>
      <c r="R12" s="3" t="s">
        <v>185</v>
      </c>
      <c r="Y12" s="85">
        <f t="shared" si="1"/>
        <v>1</v>
      </c>
    </row>
    <row r="13">
      <c r="A13" s="3">
        <v>3.0</v>
      </c>
      <c r="B13" s="82" t="s">
        <v>1074</v>
      </c>
      <c r="C13" s="83">
        <v>2006.0</v>
      </c>
      <c r="D13" s="82" t="s">
        <v>1075</v>
      </c>
      <c r="E13" s="91" t="s">
        <v>1076</v>
      </c>
      <c r="J13" s="3" t="s">
        <v>11</v>
      </c>
      <c r="Q13" s="3"/>
      <c r="R13" s="3" t="s">
        <v>185</v>
      </c>
      <c r="Y13" s="85">
        <f t="shared" si="1"/>
        <v>1</v>
      </c>
    </row>
    <row r="14">
      <c r="A14" s="3">
        <v>3.0</v>
      </c>
      <c r="B14" s="82" t="s">
        <v>1077</v>
      </c>
      <c r="C14" s="83">
        <v>2006.0</v>
      </c>
      <c r="D14" s="82" t="s">
        <v>1078</v>
      </c>
      <c r="E14" s="91" t="s">
        <v>1079</v>
      </c>
      <c r="J14" s="3" t="s">
        <v>11</v>
      </c>
      <c r="Q14" s="3"/>
      <c r="R14" s="3" t="s">
        <v>185</v>
      </c>
      <c r="Y14" s="85">
        <f t="shared" si="1"/>
        <v>1</v>
      </c>
    </row>
    <row r="15">
      <c r="A15" s="3">
        <v>3.0</v>
      </c>
      <c r="B15" s="82" t="s">
        <v>1080</v>
      </c>
      <c r="C15" s="83">
        <v>2004.0</v>
      </c>
      <c r="D15" s="82" t="s">
        <v>1081</v>
      </c>
      <c r="E15" s="92" t="s">
        <v>1082</v>
      </c>
      <c r="J15" s="3" t="s">
        <v>11</v>
      </c>
      <c r="Q15" s="3"/>
      <c r="R15" s="3" t="s">
        <v>185</v>
      </c>
      <c r="Y15" s="85">
        <f t="shared" si="1"/>
        <v>1</v>
      </c>
    </row>
    <row r="16">
      <c r="A16" s="3">
        <v>3.0</v>
      </c>
      <c r="B16" s="82" t="s">
        <v>1083</v>
      </c>
      <c r="C16" s="83">
        <v>1981.0</v>
      </c>
      <c r="D16" s="82" t="s">
        <v>1084</v>
      </c>
      <c r="E16" s="93" t="s">
        <v>1085</v>
      </c>
      <c r="J16" s="3" t="s">
        <v>11</v>
      </c>
      <c r="Q16" s="3"/>
      <c r="R16" s="3" t="s">
        <v>185</v>
      </c>
      <c r="Y16" s="85">
        <f t="shared" si="1"/>
        <v>1</v>
      </c>
    </row>
    <row r="17">
      <c r="A17" s="3">
        <v>3.0</v>
      </c>
      <c r="B17" s="82" t="s">
        <v>1086</v>
      </c>
      <c r="C17" s="83">
        <v>1988.0</v>
      </c>
      <c r="D17" s="82" t="s">
        <v>1087</v>
      </c>
      <c r="E17" s="88" t="s">
        <v>1088</v>
      </c>
      <c r="J17" s="3" t="s">
        <v>11</v>
      </c>
      <c r="Q17" s="3"/>
      <c r="R17" s="3" t="s">
        <v>185</v>
      </c>
      <c r="Y17" s="85">
        <f t="shared" si="1"/>
        <v>1</v>
      </c>
    </row>
    <row r="18">
      <c r="A18" s="3">
        <v>3.0</v>
      </c>
      <c r="B18" s="82" t="s">
        <v>1089</v>
      </c>
      <c r="C18" s="83">
        <v>1992.0</v>
      </c>
      <c r="D18" s="82" t="s">
        <v>1090</v>
      </c>
      <c r="E18" s="88" t="s">
        <v>1091</v>
      </c>
      <c r="J18" s="3" t="s">
        <v>11</v>
      </c>
      <c r="Q18" s="3"/>
      <c r="R18" s="3" t="s">
        <v>185</v>
      </c>
      <c r="Y18" s="85">
        <f t="shared" si="1"/>
        <v>1</v>
      </c>
    </row>
    <row r="19">
      <c r="A19" s="3">
        <v>3.0</v>
      </c>
      <c r="B19" s="82" t="s">
        <v>1092</v>
      </c>
      <c r="C19" s="83">
        <v>2003.0</v>
      </c>
      <c r="D19" s="82" t="s">
        <v>1093</v>
      </c>
      <c r="E19" s="86" t="s">
        <v>1094</v>
      </c>
      <c r="J19" s="3" t="s">
        <v>11</v>
      </c>
      <c r="Q19" s="3"/>
      <c r="R19" s="3" t="s">
        <v>185</v>
      </c>
      <c r="Y19" s="85">
        <f t="shared" si="1"/>
        <v>1</v>
      </c>
    </row>
    <row r="20">
      <c r="A20" s="3">
        <v>3.0</v>
      </c>
      <c r="B20" s="82" t="s">
        <v>1095</v>
      </c>
      <c r="C20" s="83">
        <v>2004.0</v>
      </c>
      <c r="D20" s="82" t="s">
        <v>1096</v>
      </c>
      <c r="E20" s="94" t="s">
        <v>1097</v>
      </c>
      <c r="J20" s="3" t="s">
        <v>11</v>
      </c>
      <c r="Q20" s="3"/>
      <c r="R20" s="3" t="s">
        <v>185</v>
      </c>
      <c r="Y20" s="85">
        <f t="shared" si="1"/>
        <v>1</v>
      </c>
    </row>
    <row r="21">
      <c r="A21" s="3">
        <v>3.0</v>
      </c>
      <c r="B21" s="82" t="s">
        <v>1098</v>
      </c>
      <c r="C21" s="83">
        <v>2010.0</v>
      </c>
      <c r="D21" s="82" t="s">
        <v>1099</v>
      </c>
      <c r="E21" s="88" t="s">
        <v>1100</v>
      </c>
      <c r="J21" s="3" t="s">
        <v>11</v>
      </c>
      <c r="Q21" s="3"/>
      <c r="R21" s="3" t="s">
        <v>185</v>
      </c>
      <c r="Y21" s="85">
        <f t="shared" si="1"/>
        <v>1</v>
      </c>
    </row>
    <row r="22">
      <c r="A22" s="3">
        <v>3.0</v>
      </c>
      <c r="B22" s="82" t="s">
        <v>1101</v>
      </c>
      <c r="C22" s="83">
        <v>2005.0</v>
      </c>
      <c r="D22" s="82" t="s">
        <v>1102</v>
      </c>
      <c r="E22" s="91" t="s">
        <v>1103</v>
      </c>
      <c r="J22" s="3" t="s">
        <v>11</v>
      </c>
      <c r="Q22" s="3"/>
      <c r="R22" s="3" t="s">
        <v>185</v>
      </c>
      <c r="Y22" s="85">
        <f t="shared" si="1"/>
        <v>1</v>
      </c>
    </row>
    <row r="23">
      <c r="A23" s="3">
        <v>3.0</v>
      </c>
      <c r="B23" s="82" t="s">
        <v>1104</v>
      </c>
      <c r="C23" s="83">
        <v>2010.0</v>
      </c>
      <c r="D23" s="82" t="s">
        <v>1105</v>
      </c>
      <c r="E23" s="88" t="s">
        <v>1106</v>
      </c>
      <c r="J23" s="3" t="s">
        <v>11</v>
      </c>
      <c r="Q23" s="3"/>
      <c r="R23" s="3" t="s">
        <v>185</v>
      </c>
      <c r="Y23" s="85">
        <f t="shared" si="1"/>
        <v>1</v>
      </c>
    </row>
    <row r="24">
      <c r="A24" s="3">
        <v>3.0</v>
      </c>
      <c r="B24" s="82" t="s">
        <v>1107</v>
      </c>
      <c r="C24" s="83">
        <v>2003.0</v>
      </c>
      <c r="D24" s="82" t="s">
        <v>1108</v>
      </c>
      <c r="E24" s="86" t="s">
        <v>1109</v>
      </c>
      <c r="J24" s="3" t="s">
        <v>11</v>
      </c>
      <c r="Q24" s="3"/>
      <c r="R24" s="3" t="s">
        <v>185</v>
      </c>
      <c r="Y24" s="85">
        <f t="shared" si="1"/>
        <v>1</v>
      </c>
    </row>
    <row r="25">
      <c r="A25" s="3">
        <v>3.0</v>
      </c>
      <c r="B25" s="82" t="s">
        <v>1110</v>
      </c>
      <c r="C25" s="83">
        <v>2006.0</v>
      </c>
      <c r="D25" s="82" t="s">
        <v>1111</v>
      </c>
      <c r="E25" s="91" t="s">
        <v>1112</v>
      </c>
      <c r="J25" s="3" t="s">
        <v>11</v>
      </c>
      <c r="Q25" s="3"/>
      <c r="R25" s="3" t="s">
        <v>185</v>
      </c>
      <c r="Y25" s="85">
        <f t="shared" si="1"/>
        <v>1</v>
      </c>
    </row>
    <row r="26">
      <c r="A26" s="3">
        <v>3.0</v>
      </c>
      <c r="B26" s="82" t="s">
        <v>1113</v>
      </c>
      <c r="C26" s="83">
        <v>2002.0</v>
      </c>
      <c r="D26" s="82" t="s">
        <v>1114</v>
      </c>
      <c r="E26" s="88" t="s">
        <v>1115</v>
      </c>
      <c r="J26" s="3" t="s">
        <v>11</v>
      </c>
      <c r="Q26" s="3"/>
      <c r="R26" s="3" t="s">
        <v>185</v>
      </c>
      <c r="Y26" s="85">
        <f t="shared" si="1"/>
        <v>1</v>
      </c>
    </row>
    <row r="27">
      <c r="A27" s="3">
        <v>3.0</v>
      </c>
      <c r="B27" s="82" t="s">
        <v>1116</v>
      </c>
      <c r="C27" s="83">
        <v>2010.0</v>
      </c>
      <c r="D27" s="82" t="s">
        <v>1117</v>
      </c>
      <c r="E27" s="88" t="s">
        <v>1118</v>
      </c>
      <c r="J27" s="3" t="s">
        <v>11</v>
      </c>
      <c r="Q27" s="3"/>
      <c r="R27" s="3" t="s">
        <v>185</v>
      </c>
      <c r="Y27" s="85">
        <f t="shared" si="1"/>
        <v>1</v>
      </c>
    </row>
    <row r="28">
      <c r="A28" s="3">
        <v>3.0</v>
      </c>
      <c r="B28" s="82" t="s">
        <v>1119</v>
      </c>
      <c r="C28" s="83">
        <v>2004.0</v>
      </c>
      <c r="D28" s="82" t="s">
        <v>1120</v>
      </c>
      <c r="E28" s="86" t="s">
        <v>1121</v>
      </c>
      <c r="J28" s="3" t="s">
        <v>11</v>
      </c>
      <c r="Q28" s="3"/>
      <c r="R28" s="3" t="s">
        <v>185</v>
      </c>
      <c r="Y28" s="85">
        <f t="shared" si="1"/>
        <v>1</v>
      </c>
    </row>
    <row r="29">
      <c r="A29" s="3">
        <v>3.0</v>
      </c>
      <c r="B29" s="82" t="s">
        <v>1122</v>
      </c>
      <c r="C29" s="83">
        <v>2010.0</v>
      </c>
      <c r="D29" s="82" t="s">
        <v>1123</v>
      </c>
      <c r="E29" s="88" t="s">
        <v>1124</v>
      </c>
      <c r="J29" s="3" t="s">
        <v>11</v>
      </c>
      <c r="Q29" s="3"/>
      <c r="R29" s="3" t="s">
        <v>185</v>
      </c>
      <c r="Y29" s="85">
        <f t="shared" si="1"/>
        <v>1</v>
      </c>
    </row>
    <row r="30">
      <c r="A30" s="3">
        <v>3.0</v>
      </c>
      <c r="B30" s="82" t="s">
        <v>1125</v>
      </c>
      <c r="C30" s="83">
        <v>2007.0</v>
      </c>
      <c r="D30" s="82" t="s">
        <v>1126</v>
      </c>
      <c r="E30" s="86" t="s">
        <v>1127</v>
      </c>
      <c r="J30" s="3" t="s">
        <v>11</v>
      </c>
      <c r="Q30" s="3"/>
      <c r="R30" s="3" t="s">
        <v>185</v>
      </c>
      <c r="Y30" s="85">
        <f t="shared" si="1"/>
        <v>1</v>
      </c>
    </row>
    <row r="31">
      <c r="A31" s="3">
        <v>3.0</v>
      </c>
      <c r="B31" s="82" t="s">
        <v>1128</v>
      </c>
      <c r="C31" s="83">
        <v>2005.0</v>
      </c>
      <c r="D31" s="82" t="s">
        <v>1129</v>
      </c>
      <c r="E31" s="86" t="s">
        <v>1130</v>
      </c>
      <c r="J31" s="3" t="s">
        <v>11</v>
      </c>
      <c r="Q31" s="3"/>
      <c r="R31" s="3" t="s">
        <v>185</v>
      </c>
      <c r="Y31" s="85">
        <f t="shared" si="1"/>
        <v>1</v>
      </c>
    </row>
    <row r="32">
      <c r="A32" s="3">
        <v>3.0</v>
      </c>
      <c r="B32" s="82" t="s">
        <v>1131</v>
      </c>
      <c r="C32" s="83">
        <v>1970.0</v>
      </c>
      <c r="D32" s="82" t="s">
        <v>1132</v>
      </c>
      <c r="E32" s="91" t="s">
        <v>1133</v>
      </c>
      <c r="J32" s="3" t="s">
        <v>11</v>
      </c>
      <c r="Q32" s="3"/>
      <c r="R32" s="3" t="s">
        <v>185</v>
      </c>
      <c r="Y32" s="85">
        <f t="shared" si="1"/>
        <v>1</v>
      </c>
    </row>
    <row r="33">
      <c r="A33" s="3">
        <v>3.0</v>
      </c>
      <c r="B33" s="82" t="s">
        <v>1134</v>
      </c>
      <c r="C33" s="83">
        <v>2010.0</v>
      </c>
      <c r="D33" s="82" t="s">
        <v>1135</v>
      </c>
      <c r="E33" s="88" t="s">
        <v>1136</v>
      </c>
      <c r="J33" s="3" t="s">
        <v>11</v>
      </c>
      <c r="Q33" s="3"/>
      <c r="R33" s="3" t="s">
        <v>185</v>
      </c>
      <c r="Y33" s="85">
        <f t="shared" si="1"/>
        <v>1</v>
      </c>
    </row>
    <row r="34">
      <c r="A34" s="3">
        <v>3.0</v>
      </c>
      <c r="B34" s="82" t="s">
        <v>1137</v>
      </c>
      <c r="C34" s="83">
        <v>2010.0</v>
      </c>
      <c r="D34" s="82" t="s">
        <v>1138</v>
      </c>
      <c r="E34" s="84" t="s">
        <v>1139</v>
      </c>
      <c r="J34" s="3" t="s">
        <v>11</v>
      </c>
      <c r="Q34" s="3"/>
      <c r="R34" s="3" t="s">
        <v>185</v>
      </c>
      <c r="Y34" s="85">
        <f t="shared" si="1"/>
        <v>1</v>
      </c>
    </row>
    <row r="35">
      <c r="A35" s="3">
        <v>3.0</v>
      </c>
      <c r="B35" s="82" t="s">
        <v>1140</v>
      </c>
      <c r="C35" s="83">
        <v>2010.0</v>
      </c>
      <c r="D35" s="82" t="s">
        <v>1141</v>
      </c>
      <c r="E35" s="84" t="s">
        <v>1142</v>
      </c>
      <c r="J35" s="3" t="s">
        <v>11</v>
      </c>
      <c r="Q35" s="3"/>
      <c r="R35" s="3" t="s">
        <v>185</v>
      </c>
      <c r="Y35" s="85">
        <f t="shared" si="1"/>
        <v>1</v>
      </c>
    </row>
    <row r="36">
      <c r="A36" s="3">
        <v>3.0</v>
      </c>
      <c r="B36" s="82" t="s">
        <v>1143</v>
      </c>
      <c r="C36" s="83">
        <v>2014.0</v>
      </c>
      <c r="D36" s="82" t="s">
        <v>1144</v>
      </c>
      <c r="E36" s="89" t="s">
        <v>1145</v>
      </c>
      <c r="F36" s="60"/>
      <c r="G36" s="60"/>
      <c r="H36" s="61" t="s">
        <v>11</v>
      </c>
      <c r="I36" s="60"/>
      <c r="J36" s="60"/>
      <c r="K36" s="58"/>
      <c r="L36" s="58"/>
      <c r="M36" s="58"/>
      <c r="N36" s="58"/>
      <c r="O36" s="58"/>
      <c r="P36" s="58"/>
      <c r="Q36" s="3"/>
      <c r="R36" s="3" t="s">
        <v>185</v>
      </c>
      <c r="Y36" s="85">
        <f t="shared" si="1"/>
        <v>1</v>
      </c>
    </row>
    <row r="37">
      <c r="A37" s="3">
        <v>3.0</v>
      </c>
      <c r="B37" s="82" t="s">
        <v>1146</v>
      </c>
      <c r="C37" s="83">
        <v>2012.0</v>
      </c>
      <c r="D37" s="82" t="s">
        <v>1147</v>
      </c>
      <c r="E37" s="86" t="s">
        <v>1148</v>
      </c>
      <c r="F37" s="60"/>
      <c r="G37" s="60"/>
      <c r="H37" s="60"/>
      <c r="I37" s="60"/>
      <c r="J37" s="60"/>
      <c r="K37" s="58"/>
      <c r="L37" s="58"/>
      <c r="M37" s="58"/>
      <c r="N37" s="59" t="s">
        <v>11</v>
      </c>
      <c r="O37" s="58"/>
      <c r="P37" s="58"/>
      <c r="Q37" s="3"/>
      <c r="R37" s="3" t="s">
        <v>185</v>
      </c>
      <c r="Y37" s="85">
        <f t="shared" si="1"/>
        <v>1</v>
      </c>
    </row>
    <row r="38">
      <c r="A38" s="3">
        <v>3.0</v>
      </c>
      <c r="B38" s="82" t="s">
        <v>1149</v>
      </c>
      <c r="C38" s="83">
        <v>2005.0</v>
      </c>
      <c r="D38" s="82" t="s">
        <v>1150</v>
      </c>
      <c r="E38" s="88" t="s">
        <v>1151</v>
      </c>
      <c r="J38" s="3" t="s">
        <v>11</v>
      </c>
      <c r="Q38" s="3"/>
      <c r="R38" s="3" t="s">
        <v>185</v>
      </c>
      <c r="Y38" s="85">
        <f t="shared" si="1"/>
        <v>1</v>
      </c>
    </row>
    <row r="39">
      <c r="A39" s="3">
        <v>3.0</v>
      </c>
      <c r="B39" s="82" t="s">
        <v>1152</v>
      </c>
      <c r="C39" s="83">
        <v>2016.0</v>
      </c>
      <c r="D39" s="82" t="s">
        <v>1153</v>
      </c>
      <c r="E39" s="88" t="s">
        <v>1154</v>
      </c>
      <c r="F39" s="60"/>
      <c r="G39" s="60"/>
      <c r="H39" s="60"/>
      <c r="I39" s="60"/>
      <c r="J39" s="60"/>
      <c r="K39" s="58"/>
      <c r="L39" s="58"/>
      <c r="M39" s="58"/>
      <c r="N39" s="58"/>
      <c r="O39" s="58"/>
      <c r="P39" s="59" t="s">
        <v>11</v>
      </c>
      <c r="Q39" s="3"/>
      <c r="R39" s="3" t="s">
        <v>185</v>
      </c>
      <c r="S39" s="3" t="s">
        <v>1155</v>
      </c>
      <c r="Y39" s="85">
        <f t="shared" si="1"/>
        <v>1</v>
      </c>
    </row>
    <row r="40">
      <c r="A40" s="3">
        <v>3.0</v>
      </c>
      <c r="B40" s="82" t="s">
        <v>1156</v>
      </c>
      <c r="C40" s="83">
        <v>2010.0</v>
      </c>
      <c r="D40" s="82" t="s">
        <v>1157</v>
      </c>
      <c r="E40" s="91" t="s">
        <v>1158</v>
      </c>
      <c r="J40" s="3" t="s">
        <v>11</v>
      </c>
      <c r="Q40" s="3"/>
      <c r="R40" s="3" t="s">
        <v>185</v>
      </c>
      <c r="Y40" s="85">
        <f t="shared" si="1"/>
        <v>1</v>
      </c>
    </row>
    <row r="41">
      <c r="A41" s="3">
        <v>3.0</v>
      </c>
      <c r="B41" s="82" t="s">
        <v>1159</v>
      </c>
      <c r="C41" s="83">
        <v>2015.0</v>
      </c>
      <c r="D41" s="82" t="s">
        <v>1160</v>
      </c>
      <c r="E41" s="91" t="s">
        <v>1161</v>
      </c>
      <c r="F41" s="60"/>
      <c r="G41" s="60"/>
      <c r="H41" s="61" t="s">
        <v>11</v>
      </c>
      <c r="I41" s="60"/>
      <c r="J41" s="60"/>
      <c r="K41" s="58"/>
      <c r="L41" s="58"/>
      <c r="M41" s="58"/>
      <c r="N41" s="58"/>
      <c r="O41" s="58"/>
      <c r="P41" s="58"/>
      <c r="Q41" s="3"/>
      <c r="R41" s="3" t="s">
        <v>185</v>
      </c>
      <c r="Y41" s="85">
        <f t="shared" si="1"/>
        <v>1</v>
      </c>
    </row>
    <row r="42">
      <c r="A42" s="3">
        <v>3.0</v>
      </c>
      <c r="B42" s="82" t="s">
        <v>1162</v>
      </c>
      <c r="C42" s="83">
        <v>1990.0</v>
      </c>
      <c r="D42" s="82" t="s">
        <v>1163</v>
      </c>
      <c r="E42" s="88" t="s">
        <v>1164</v>
      </c>
      <c r="J42" s="3" t="s">
        <v>11</v>
      </c>
      <c r="Q42" s="3"/>
      <c r="R42" s="3" t="s">
        <v>185</v>
      </c>
      <c r="Y42" s="85">
        <f t="shared" si="1"/>
        <v>1</v>
      </c>
    </row>
    <row r="43">
      <c r="A43" s="3">
        <v>3.0</v>
      </c>
      <c r="B43" s="82" t="s">
        <v>1165</v>
      </c>
      <c r="C43" s="83">
        <v>1996.0</v>
      </c>
      <c r="D43" s="82" t="s">
        <v>1166</v>
      </c>
      <c r="E43" s="95" t="s">
        <v>1167</v>
      </c>
      <c r="J43" s="3" t="s">
        <v>11</v>
      </c>
      <c r="Q43" s="3"/>
      <c r="R43" s="3" t="s">
        <v>185</v>
      </c>
      <c r="Y43" s="85">
        <f t="shared" si="1"/>
        <v>1</v>
      </c>
    </row>
    <row r="44">
      <c r="A44" s="3">
        <v>3.0</v>
      </c>
      <c r="B44" s="82" t="s">
        <v>1168</v>
      </c>
      <c r="C44" s="83">
        <v>2005.0</v>
      </c>
      <c r="D44" s="82" t="s">
        <v>1075</v>
      </c>
      <c r="E44" s="95" t="s">
        <v>1169</v>
      </c>
      <c r="J44" s="3" t="s">
        <v>11</v>
      </c>
      <c r="Q44" s="3"/>
      <c r="R44" s="3" t="s">
        <v>185</v>
      </c>
      <c r="Y44" s="85">
        <f t="shared" si="1"/>
        <v>1</v>
      </c>
    </row>
    <row r="45">
      <c r="A45" s="3">
        <v>3.0</v>
      </c>
      <c r="B45" s="82" t="s">
        <v>1170</v>
      </c>
      <c r="C45" s="83">
        <v>2005.0</v>
      </c>
      <c r="D45" s="82" t="s">
        <v>1171</v>
      </c>
      <c r="E45" s="96" t="s">
        <v>1172</v>
      </c>
      <c r="J45" s="3" t="s">
        <v>11</v>
      </c>
      <c r="Q45" s="3"/>
      <c r="R45" s="3" t="s">
        <v>185</v>
      </c>
      <c r="Y45" s="85">
        <f t="shared" si="1"/>
        <v>1</v>
      </c>
    </row>
    <row r="46">
      <c r="A46" s="3">
        <v>3.0</v>
      </c>
      <c r="B46" s="82" t="s">
        <v>1173</v>
      </c>
      <c r="C46" s="82">
        <v>2005.0</v>
      </c>
      <c r="D46" s="82" t="s">
        <v>1174</v>
      </c>
      <c r="E46" s="96" t="s">
        <v>1175</v>
      </c>
      <c r="J46" s="3" t="s">
        <v>11</v>
      </c>
      <c r="Q46" s="3"/>
      <c r="R46" s="3" t="s">
        <v>185</v>
      </c>
      <c r="Y46" s="85">
        <f t="shared" si="1"/>
        <v>1</v>
      </c>
    </row>
    <row r="47">
      <c r="A47" s="3">
        <v>3.0</v>
      </c>
      <c r="B47" s="82" t="s">
        <v>1176</v>
      </c>
      <c r="C47" s="83">
        <v>2007.0</v>
      </c>
      <c r="D47" s="82" t="s">
        <v>1177</v>
      </c>
      <c r="E47" s="95" t="s">
        <v>1178</v>
      </c>
      <c r="J47" s="3" t="s">
        <v>11</v>
      </c>
      <c r="L47" s="3" t="s">
        <v>11</v>
      </c>
      <c r="Q47" s="3"/>
      <c r="R47" s="3" t="s">
        <v>185</v>
      </c>
      <c r="Y47" s="85">
        <f t="shared" si="1"/>
        <v>1</v>
      </c>
    </row>
    <row r="48">
      <c r="A48" s="3">
        <v>3.0</v>
      </c>
      <c r="B48" s="82" t="s">
        <v>1179</v>
      </c>
      <c r="C48" s="83">
        <v>2001.0</v>
      </c>
      <c r="D48" s="82" t="s">
        <v>1180</v>
      </c>
      <c r="E48" s="96" t="s">
        <v>1181</v>
      </c>
      <c r="J48" s="3" t="s">
        <v>11</v>
      </c>
      <c r="Q48" s="3"/>
      <c r="R48" s="3" t="s">
        <v>185</v>
      </c>
      <c r="Y48" s="85">
        <f t="shared" si="1"/>
        <v>1</v>
      </c>
    </row>
    <row r="49">
      <c r="A49" s="3">
        <v>3.0</v>
      </c>
      <c r="B49" s="82" t="s">
        <v>1182</v>
      </c>
      <c r="C49" s="83">
        <v>2004.0</v>
      </c>
      <c r="D49" s="82" t="s">
        <v>1183</v>
      </c>
      <c r="E49" s="97" t="s">
        <v>1184</v>
      </c>
      <c r="J49" s="3" t="s">
        <v>11</v>
      </c>
      <c r="M49" s="3" t="s">
        <v>11</v>
      </c>
      <c r="Q49" s="3"/>
      <c r="R49" s="3" t="s">
        <v>185</v>
      </c>
      <c r="Y49" s="85">
        <f t="shared" si="1"/>
        <v>1</v>
      </c>
    </row>
    <row r="50">
      <c r="A50" s="3">
        <v>3.0</v>
      </c>
      <c r="B50" s="82" t="s">
        <v>1185</v>
      </c>
      <c r="C50" s="83">
        <v>2006.0</v>
      </c>
      <c r="D50" s="82" t="s">
        <v>1186</v>
      </c>
      <c r="E50" s="96" t="s">
        <v>1187</v>
      </c>
      <c r="J50" s="3" t="s">
        <v>11</v>
      </c>
      <c r="Q50" s="3"/>
      <c r="R50" s="3" t="s">
        <v>185</v>
      </c>
      <c r="Y50" s="85">
        <f t="shared" si="1"/>
        <v>1</v>
      </c>
    </row>
    <row r="51">
      <c r="A51" s="3">
        <v>3.0</v>
      </c>
      <c r="B51" s="82" t="s">
        <v>1188</v>
      </c>
      <c r="C51" s="83">
        <v>2009.0</v>
      </c>
      <c r="D51" s="82" t="s">
        <v>1189</v>
      </c>
      <c r="E51" s="96" t="s">
        <v>1190</v>
      </c>
      <c r="J51" s="3" t="s">
        <v>11</v>
      </c>
      <c r="Q51" s="3"/>
      <c r="R51" s="3" t="s">
        <v>185</v>
      </c>
      <c r="Y51" s="85">
        <f t="shared" si="1"/>
        <v>1</v>
      </c>
    </row>
    <row r="52">
      <c r="A52" s="3">
        <v>3.0</v>
      </c>
      <c r="B52" s="82" t="s">
        <v>1191</v>
      </c>
      <c r="C52" s="83">
        <v>2004.0</v>
      </c>
      <c r="D52" s="82" t="s">
        <v>1192</v>
      </c>
      <c r="E52" s="95" t="s">
        <v>1193</v>
      </c>
      <c r="J52" s="3" t="s">
        <v>11</v>
      </c>
      <c r="Q52" s="3"/>
      <c r="R52" s="3" t="s">
        <v>185</v>
      </c>
      <c r="Y52" s="85">
        <f t="shared" si="1"/>
        <v>1</v>
      </c>
    </row>
    <row r="53">
      <c r="A53" s="3">
        <v>3.0</v>
      </c>
      <c r="B53" s="82" t="s">
        <v>1194</v>
      </c>
      <c r="C53" s="90"/>
      <c r="D53" s="82" t="s">
        <v>1195</v>
      </c>
      <c r="E53" s="96" t="s">
        <v>1196</v>
      </c>
      <c r="F53" s="60"/>
      <c r="G53" s="60"/>
      <c r="H53" s="60"/>
      <c r="I53" s="60"/>
      <c r="J53" s="60"/>
      <c r="K53" s="58"/>
      <c r="L53" s="58"/>
      <c r="M53" s="58"/>
      <c r="N53" s="58"/>
      <c r="O53" s="58"/>
      <c r="P53" s="58"/>
      <c r="Q53" s="3"/>
      <c r="R53" s="3" t="s">
        <v>185</v>
      </c>
      <c r="S53" s="3" t="s">
        <v>1035</v>
      </c>
      <c r="Y53" s="85">
        <f t="shared" si="1"/>
        <v>1</v>
      </c>
    </row>
    <row r="54">
      <c r="A54" s="3">
        <v>3.0</v>
      </c>
      <c r="B54" s="82" t="s">
        <v>1197</v>
      </c>
      <c r="C54" s="83">
        <v>2012.0</v>
      </c>
      <c r="D54" s="82" t="s">
        <v>1198</v>
      </c>
      <c r="E54" s="84" t="s">
        <v>1199</v>
      </c>
      <c r="F54" s="60"/>
      <c r="G54" s="60"/>
      <c r="H54" s="60"/>
      <c r="I54" s="60"/>
      <c r="J54" s="60"/>
      <c r="K54" s="58"/>
      <c r="L54" s="58"/>
      <c r="M54" s="58"/>
      <c r="N54" s="58"/>
      <c r="O54" s="58"/>
      <c r="P54" s="58"/>
      <c r="Q54" s="3"/>
      <c r="R54" s="3" t="s">
        <v>185</v>
      </c>
      <c r="S54" s="3" t="s">
        <v>1035</v>
      </c>
      <c r="Y54" s="85">
        <f t="shared" si="1"/>
        <v>1</v>
      </c>
    </row>
    <row r="55">
      <c r="A55" s="3">
        <v>3.0</v>
      </c>
      <c r="B55" s="82" t="s">
        <v>1200</v>
      </c>
      <c r="C55" s="83">
        <v>2012.0</v>
      </c>
      <c r="D55" s="82" t="s">
        <v>1201</v>
      </c>
      <c r="E55" s="95" t="s">
        <v>1202</v>
      </c>
      <c r="F55" s="60"/>
      <c r="G55" s="60"/>
      <c r="H55" s="60"/>
      <c r="I55" s="60"/>
      <c r="J55" s="60"/>
      <c r="K55" s="58"/>
      <c r="L55" s="58"/>
      <c r="M55" s="58"/>
      <c r="N55" s="58"/>
      <c r="O55" s="58"/>
      <c r="P55" s="58"/>
      <c r="Q55" s="3"/>
      <c r="R55" s="3" t="s">
        <v>185</v>
      </c>
      <c r="S55" s="3" t="s">
        <v>1035</v>
      </c>
      <c r="Y55" s="85">
        <f t="shared" si="1"/>
        <v>1</v>
      </c>
    </row>
    <row r="56">
      <c r="A56" s="3">
        <v>3.0</v>
      </c>
      <c r="B56" s="82" t="s">
        <v>1203</v>
      </c>
      <c r="C56" s="90"/>
      <c r="D56" s="82" t="s">
        <v>1204</v>
      </c>
      <c r="E56" s="95" t="s">
        <v>1205</v>
      </c>
      <c r="F56" s="60"/>
      <c r="G56" s="60"/>
      <c r="H56" s="60"/>
      <c r="I56" s="60"/>
      <c r="J56" s="60"/>
      <c r="K56" s="58"/>
      <c r="L56" s="58"/>
      <c r="M56" s="58"/>
      <c r="N56" s="58"/>
      <c r="O56" s="58"/>
      <c r="P56" s="58"/>
      <c r="Q56" s="3"/>
      <c r="R56" s="3" t="s">
        <v>185</v>
      </c>
      <c r="S56" s="3" t="s">
        <v>1035</v>
      </c>
      <c r="Y56" s="85">
        <f t="shared" si="1"/>
        <v>1</v>
      </c>
    </row>
    <row r="57">
      <c r="A57" s="3">
        <v>3.0</v>
      </c>
      <c r="B57" s="82" t="s">
        <v>1206</v>
      </c>
      <c r="C57" s="83">
        <v>2007.0</v>
      </c>
      <c r="D57" s="82" t="s">
        <v>1207</v>
      </c>
      <c r="E57" s="95" t="s">
        <v>1208</v>
      </c>
      <c r="J57" s="3" t="s">
        <v>11</v>
      </c>
      <c r="Q57" s="3"/>
      <c r="R57" s="3" t="s">
        <v>185</v>
      </c>
      <c r="Y57" s="85">
        <f t="shared" si="1"/>
        <v>1</v>
      </c>
    </row>
    <row r="58">
      <c r="A58" s="3">
        <v>3.0</v>
      </c>
      <c r="B58" s="82" t="s">
        <v>1209</v>
      </c>
      <c r="C58" s="83">
        <v>2012.0</v>
      </c>
      <c r="D58" s="82" t="s">
        <v>1210</v>
      </c>
      <c r="E58" s="95" t="s">
        <v>1211</v>
      </c>
      <c r="F58" s="60"/>
      <c r="G58" s="60"/>
      <c r="H58" s="60"/>
      <c r="I58" s="60"/>
      <c r="J58" s="60"/>
      <c r="K58" s="58"/>
      <c r="L58" s="58"/>
      <c r="M58" s="58"/>
      <c r="N58" s="58"/>
      <c r="O58" s="58"/>
      <c r="P58" s="58"/>
      <c r="Q58" s="3"/>
      <c r="R58" s="3" t="s">
        <v>185</v>
      </c>
      <c r="S58" s="3" t="s">
        <v>1035</v>
      </c>
      <c r="Y58" s="85">
        <f t="shared" si="1"/>
        <v>1</v>
      </c>
    </row>
    <row r="59">
      <c r="A59" s="3">
        <v>3.0</v>
      </c>
      <c r="B59" s="82" t="s">
        <v>1212</v>
      </c>
      <c r="C59" s="83">
        <v>2010.0</v>
      </c>
      <c r="D59" s="90"/>
      <c r="E59" s="84" t="s">
        <v>1213</v>
      </c>
      <c r="F59" s="60"/>
      <c r="G59" s="60"/>
      <c r="H59" s="60"/>
      <c r="I59" s="60"/>
      <c r="J59" s="60"/>
      <c r="K59" s="58"/>
      <c r="L59" s="58"/>
      <c r="M59" s="58"/>
      <c r="N59" s="58"/>
      <c r="O59" s="58"/>
      <c r="P59" s="58"/>
      <c r="Q59" s="3"/>
      <c r="R59" s="3" t="s">
        <v>185</v>
      </c>
      <c r="S59" s="3" t="s">
        <v>1035</v>
      </c>
      <c r="Y59" s="85">
        <f t="shared" si="1"/>
        <v>1</v>
      </c>
    </row>
    <row r="60">
      <c r="A60" s="3">
        <v>3.0</v>
      </c>
      <c r="B60" s="82" t="s">
        <v>1214</v>
      </c>
      <c r="C60" s="83">
        <v>2008.0</v>
      </c>
      <c r="D60" s="82" t="s">
        <v>1215</v>
      </c>
      <c r="E60" s="84" t="s">
        <v>1216</v>
      </c>
      <c r="F60" s="60"/>
      <c r="G60" s="60"/>
      <c r="H60" s="60"/>
      <c r="I60" s="60"/>
      <c r="J60" s="60"/>
      <c r="K60" s="58"/>
      <c r="L60" s="58"/>
      <c r="M60" s="58"/>
      <c r="N60" s="58"/>
      <c r="O60" s="58"/>
      <c r="P60" s="58"/>
      <c r="Q60" s="3"/>
      <c r="R60" s="3" t="s">
        <v>185</v>
      </c>
      <c r="S60" s="3" t="s">
        <v>1035</v>
      </c>
      <c r="Y60" s="85">
        <f t="shared" si="1"/>
        <v>1</v>
      </c>
    </row>
    <row r="61">
      <c r="A61" s="3">
        <v>3.0</v>
      </c>
      <c r="B61" s="82" t="s">
        <v>1217</v>
      </c>
      <c r="C61" s="83">
        <v>2006.0</v>
      </c>
      <c r="D61" s="82" t="s">
        <v>1218</v>
      </c>
      <c r="E61" s="95" t="s">
        <v>1219</v>
      </c>
      <c r="J61" s="3" t="s">
        <v>11</v>
      </c>
      <c r="Q61" s="3"/>
      <c r="R61" s="3" t="s">
        <v>185</v>
      </c>
      <c r="Y61" s="85">
        <f t="shared" si="1"/>
        <v>1</v>
      </c>
    </row>
    <row r="62">
      <c r="A62" s="3">
        <v>3.0</v>
      </c>
      <c r="B62" s="82" t="s">
        <v>1220</v>
      </c>
      <c r="C62" s="83">
        <v>2008.0</v>
      </c>
      <c r="D62" s="82" t="s">
        <v>1221</v>
      </c>
      <c r="E62" s="98" t="s">
        <v>1222</v>
      </c>
      <c r="J62" s="3" t="s">
        <v>11</v>
      </c>
      <c r="Q62" s="3"/>
      <c r="R62" s="3" t="s">
        <v>185</v>
      </c>
      <c r="Y62" s="85">
        <f t="shared" si="1"/>
        <v>2</v>
      </c>
    </row>
    <row r="63">
      <c r="A63" s="3">
        <v>3.0</v>
      </c>
      <c r="B63" s="82" t="s">
        <v>1223</v>
      </c>
      <c r="C63" s="83">
        <v>2005.0</v>
      </c>
      <c r="D63" s="82" t="s">
        <v>1224</v>
      </c>
      <c r="E63" s="95" t="s">
        <v>1225</v>
      </c>
      <c r="J63" s="3" t="s">
        <v>11</v>
      </c>
      <c r="Q63" s="3"/>
      <c r="R63" s="3" t="s">
        <v>185</v>
      </c>
      <c r="Y63" s="85">
        <f t="shared" si="1"/>
        <v>1</v>
      </c>
    </row>
    <row r="64">
      <c r="A64" s="3">
        <v>3.0</v>
      </c>
      <c r="B64" s="82" t="s">
        <v>1226</v>
      </c>
      <c r="C64" s="83">
        <v>2005.0</v>
      </c>
      <c r="D64" s="82" t="s">
        <v>1227</v>
      </c>
      <c r="E64" s="96" t="s">
        <v>1228</v>
      </c>
      <c r="J64" s="3" t="s">
        <v>11</v>
      </c>
      <c r="Q64" s="3"/>
      <c r="R64" s="3" t="s">
        <v>185</v>
      </c>
      <c r="Y64" s="85">
        <f t="shared" si="1"/>
        <v>1</v>
      </c>
    </row>
    <row r="65">
      <c r="A65" s="3">
        <v>3.0</v>
      </c>
      <c r="B65" s="82" t="s">
        <v>1229</v>
      </c>
      <c r="C65" s="83">
        <v>1995.0</v>
      </c>
      <c r="D65" s="82" t="s">
        <v>1230</v>
      </c>
      <c r="E65" s="96" t="s">
        <v>1231</v>
      </c>
      <c r="J65" s="3" t="s">
        <v>11</v>
      </c>
      <c r="Q65" s="3"/>
      <c r="R65" s="3" t="s">
        <v>185</v>
      </c>
      <c r="Y65" s="85">
        <f t="shared" si="1"/>
        <v>1</v>
      </c>
    </row>
    <row r="66">
      <c r="A66" s="3">
        <v>3.0</v>
      </c>
      <c r="B66" s="82" t="s">
        <v>1232</v>
      </c>
      <c r="C66" s="83">
        <v>2007.0</v>
      </c>
      <c r="D66" s="82" t="s">
        <v>1233</v>
      </c>
      <c r="E66" s="99" t="s">
        <v>1234</v>
      </c>
      <c r="J66" s="3" t="s">
        <v>11</v>
      </c>
      <c r="Q66" s="3"/>
      <c r="R66" s="3" t="s">
        <v>185</v>
      </c>
      <c r="Y66" s="85">
        <f t="shared" si="1"/>
        <v>1</v>
      </c>
    </row>
    <row r="67">
      <c r="A67" s="3">
        <v>3.0</v>
      </c>
      <c r="B67" s="82" t="s">
        <v>1235</v>
      </c>
      <c r="C67" s="83">
        <v>2008.0</v>
      </c>
      <c r="D67" s="82" t="s">
        <v>1236</v>
      </c>
      <c r="E67" s="100" t="s">
        <v>1237</v>
      </c>
      <c r="J67" s="3" t="s">
        <v>11</v>
      </c>
      <c r="Q67" s="3"/>
      <c r="R67" s="3" t="s">
        <v>185</v>
      </c>
      <c r="Y67" s="85">
        <f t="shared" si="1"/>
        <v>1</v>
      </c>
    </row>
    <row r="68">
      <c r="A68" s="3" t="s">
        <v>1238</v>
      </c>
      <c r="B68" s="82" t="s">
        <v>1239</v>
      </c>
      <c r="C68" s="83">
        <v>2009.0</v>
      </c>
      <c r="D68" s="82" t="s">
        <v>1240</v>
      </c>
      <c r="E68" s="100" t="s">
        <v>1241</v>
      </c>
      <c r="J68" s="3" t="s">
        <v>11</v>
      </c>
      <c r="Q68" s="3"/>
      <c r="R68" s="3" t="s">
        <v>185</v>
      </c>
      <c r="Y68" s="85">
        <f t="shared" si="1"/>
        <v>1</v>
      </c>
    </row>
    <row r="69">
      <c r="A69" s="3">
        <v>5.0</v>
      </c>
      <c r="B69" s="82" t="s">
        <v>1242</v>
      </c>
      <c r="C69" s="83">
        <v>2012.0</v>
      </c>
      <c r="D69" s="82" t="s">
        <v>1243</v>
      </c>
      <c r="E69" s="86" t="s">
        <v>1244</v>
      </c>
      <c r="F69" s="60"/>
      <c r="G69" s="60"/>
      <c r="H69" s="60"/>
      <c r="I69" s="60"/>
      <c r="J69" s="60"/>
      <c r="K69" s="58"/>
      <c r="L69" s="58"/>
      <c r="M69" s="58"/>
      <c r="N69" s="59" t="s">
        <v>11</v>
      </c>
      <c r="O69" s="58"/>
      <c r="P69" s="58"/>
      <c r="Q69" s="3"/>
      <c r="R69" s="3" t="s">
        <v>185</v>
      </c>
      <c r="Y69" s="85">
        <f t="shared" si="1"/>
        <v>1</v>
      </c>
    </row>
    <row r="70">
      <c r="A70" s="3">
        <v>5.0</v>
      </c>
      <c r="B70" s="82" t="s">
        <v>1245</v>
      </c>
      <c r="C70" s="83">
        <v>2012.0</v>
      </c>
      <c r="D70" s="82" t="s">
        <v>1246</v>
      </c>
      <c r="E70" s="91" t="s">
        <v>1247</v>
      </c>
      <c r="F70" s="61" t="s">
        <v>11</v>
      </c>
      <c r="G70" s="61" t="s">
        <v>11</v>
      </c>
      <c r="H70" s="60"/>
      <c r="I70" s="60"/>
      <c r="J70" s="60"/>
      <c r="K70" s="58"/>
      <c r="L70" s="58"/>
      <c r="M70" s="58"/>
      <c r="N70" s="58"/>
      <c r="O70" s="58"/>
      <c r="P70" s="58"/>
      <c r="Q70" s="3"/>
      <c r="R70" s="3" t="s">
        <v>185</v>
      </c>
      <c r="Y70" s="85">
        <f t="shared" si="1"/>
        <v>1</v>
      </c>
    </row>
    <row r="71">
      <c r="A71" s="3">
        <v>5.0</v>
      </c>
      <c r="B71" s="82" t="s">
        <v>1248</v>
      </c>
      <c r="C71" s="83">
        <v>2012.0</v>
      </c>
      <c r="D71" s="82" t="s">
        <v>1249</v>
      </c>
      <c r="E71" s="91" t="s">
        <v>1250</v>
      </c>
      <c r="F71" s="61" t="s">
        <v>11</v>
      </c>
      <c r="G71" s="60"/>
      <c r="H71" s="60"/>
      <c r="I71" s="60"/>
      <c r="J71" s="60"/>
      <c r="K71" s="58"/>
      <c r="L71" s="58"/>
      <c r="M71" s="58"/>
      <c r="N71" s="59" t="s">
        <v>324</v>
      </c>
      <c r="O71" s="58"/>
      <c r="P71" s="58"/>
      <c r="Q71" s="3"/>
      <c r="R71" s="3" t="s">
        <v>185</v>
      </c>
      <c r="Y71" s="85">
        <f t="shared" si="1"/>
        <v>1</v>
      </c>
    </row>
    <row r="72">
      <c r="A72" s="3" t="s">
        <v>1251</v>
      </c>
      <c r="B72" s="82" t="s">
        <v>1252</v>
      </c>
      <c r="C72" s="83">
        <v>2012.0</v>
      </c>
      <c r="D72" s="82" t="s">
        <v>1253</v>
      </c>
      <c r="E72" s="84" t="s">
        <v>1254</v>
      </c>
      <c r="F72" s="61" t="s">
        <v>11</v>
      </c>
      <c r="G72" s="60"/>
      <c r="H72" s="60"/>
      <c r="I72" s="60"/>
      <c r="J72" s="60"/>
      <c r="K72" s="58"/>
      <c r="L72" s="58"/>
      <c r="M72" s="58"/>
      <c r="N72" s="58"/>
      <c r="O72" s="58"/>
      <c r="P72" s="58"/>
      <c r="Q72" s="3"/>
      <c r="R72" s="3" t="s">
        <v>185</v>
      </c>
      <c r="Y72" s="85">
        <f t="shared" si="1"/>
        <v>1</v>
      </c>
    </row>
    <row r="73">
      <c r="A73" s="3">
        <v>5.0</v>
      </c>
      <c r="B73" s="82" t="s">
        <v>1255</v>
      </c>
      <c r="C73" s="83">
        <v>2014.0</v>
      </c>
      <c r="D73" s="82" t="s">
        <v>1256</v>
      </c>
      <c r="E73" s="86" t="s">
        <v>1257</v>
      </c>
      <c r="F73" s="60"/>
      <c r="G73" s="60"/>
      <c r="H73" s="60"/>
      <c r="I73" s="60"/>
      <c r="J73" s="60"/>
      <c r="K73" s="59" t="s">
        <v>11</v>
      </c>
      <c r="L73" s="58"/>
      <c r="M73" s="58"/>
      <c r="N73" s="58"/>
      <c r="O73" s="58"/>
      <c r="P73" s="58"/>
      <c r="Q73" s="3"/>
      <c r="R73" s="3" t="s">
        <v>185</v>
      </c>
      <c r="Y73" s="85">
        <f t="shared" si="1"/>
        <v>1</v>
      </c>
    </row>
    <row r="74">
      <c r="A74" s="3">
        <v>5.0</v>
      </c>
      <c r="B74" s="82" t="s">
        <v>1258</v>
      </c>
      <c r="C74" s="83">
        <v>2010.0</v>
      </c>
      <c r="D74" s="82" t="s">
        <v>1259</v>
      </c>
      <c r="E74" s="91" t="s">
        <v>1260</v>
      </c>
      <c r="J74" s="3" t="s">
        <v>11</v>
      </c>
      <c r="Q74" s="3"/>
      <c r="R74" s="3" t="s">
        <v>185</v>
      </c>
      <c r="Y74" s="85">
        <f t="shared" si="1"/>
        <v>1</v>
      </c>
    </row>
    <row r="75">
      <c r="A75" s="3">
        <v>5.0</v>
      </c>
      <c r="B75" s="82" t="s">
        <v>1261</v>
      </c>
      <c r="C75" s="83">
        <v>2006.0</v>
      </c>
      <c r="D75" s="82" t="s">
        <v>1262</v>
      </c>
      <c r="E75" s="89" t="s">
        <v>1263</v>
      </c>
      <c r="J75" s="3" t="s">
        <v>11</v>
      </c>
      <c r="Q75" s="3"/>
      <c r="R75" s="3" t="s">
        <v>185</v>
      </c>
      <c r="Y75" s="85">
        <f t="shared" si="1"/>
        <v>1</v>
      </c>
    </row>
    <row r="76">
      <c r="A76" s="3">
        <v>5.0</v>
      </c>
      <c r="B76" s="82" t="s">
        <v>1264</v>
      </c>
      <c r="C76" s="83">
        <v>2009.0</v>
      </c>
      <c r="D76" s="82" t="s">
        <v>1265</v>
      </c>
      <c r="E76" s="93" t="s">
        <v>1266</v>
      </c>
      <c r="J76" s="3" t="s">
        <v>11</v>
      </c>
      <c r="Q76" s="3"/>
      <c r="R76" s="3" t="s">
        <v>185</v>
      </c>
      <c r="Y76" s="85">
        <f t="shared" si="1"/>
        <v>1</v>
      </c>
    </row>
    <row r="77">
      <c r="A77" s="3">
        <v>5.0</v>
      </c>
      <c r="B77" s="82" t="s">
        <v>1267</v>
      </c>
      <c r="C77" s="83">
        <v>2015.0</v>
      </c>
      <c r="D77" s="82" t="s">
        <v>1268</v>
      </c>
      <c r="E77" s="89" t="s">
        <v>1269</v>
      </c>
      <c r="F77" s="60"/>
      <c r="G77" s="60"/>
      <c r="H77" s="60"/>
      <c r="I77" s="60"/>
      <c r="J77" s="60"/>
      <c r="K77" s="58"/>
      <c r="L77" s="58"/>
      <c r="M77" s="58"/>
      <c r="N77" s="58"/>
      <c r="O77" s="58"/>
      <c r="P77" s="59" t="s">
        <v>11</v>
      </c>
      <c r="Q77" s="3"/>
      <c r="R77" s="3" t="s">
        <v>185</v>
      </c>
      <c r="S77" s="3" t="s">
        <v>1270</v>
      </c>
      <c r="Y77" s="85">
        <f t="shared" si="1"/>
        <v>1</v>
      </c>
    </row>
    <row r="78">
      <c r="A78" s="3">
        <v>5.0</v>
      </c>
      <c r="B78" s="82" t="s">
        <v>1271</v>
      </c>
      <c r="C78" s="83">
        <v>2009.0</v>
      </c>
      <c r="D78" s="82" t="s">
        <v>1272</v>
      </c>
      <c r="E78" s="88" t="s">
        <v>1273</v>
      </c>
      <c r="J78" s="3" t="s">
        <v>11</v>
      </c>
      <c r="Q78" s="3"/>
      <c r="R78" s="3" t="s">
        <v>185</v>
      </c>
      <c r="Y78" s="85">
        <f t="shared" si="1"/>
        <v>1</v>
      </c>
    </row>
    <row r="79">
      <c r="A79" s="3">
        <v>5.0</v>
      </c>
      <c r="B79" s="82" t="s">
        <v>1274</v>
      </c>
      <c r="C79" s="83">
        <v>2002.0</v>
      </c>
      <c r="D79" s="82" t="s">
        <v>1275</v>
      </c>
      <c r="E79" s="86" t="s">
        <v>1276</v>
      </c>
      <c r="J79" s="3" t="s">
        <v>11</v>
      </c>
      <c r="Q79" s="3"/>
      <c r="R79" s="3" t="s">
        <v>185</v>
      </c>
      <c r="Y79" s="85">
        <f t="shared" si="1"/>
        <v>1</v>
      </c>
    </row>
    <row r="80">
      <c r="A80" s="3">
        <v>5.0</v>
      </c>
      <c r="B80" s="82" t="s">
        <v>1277</v>
      </c>
      <c r="C80" s="83">
        <v>2013.0</v>
      </c>
      <c r="D80" s="82" t="s">
        <v>1278</v>
      </c>
      <c r="E80" s="86" t="s">
        <v>1279</v>
      </c>
      <c r="F80" s="61" t="s">
        <v>11</v>
      </c>
      <c r="G80" s="60"/>
      <c r="H80" s="60"/>
      <c r="I80" s="60"/>
      <c r="J80" s="60"/>
      <c r="K80" s="58"/>
      <c r="L80" s="58"/>
      <c r="M80" s="58"/>
      <c r="N80" s="58"/>
      <c r="O80" s="58"/>
      <c r="P80" s="58"/>
      <c r="Q80" s="3"/>
      <c r="R80" s="3" t="s">
        <v>185</v>
      </c>
      <c r="Y80" s="85">
        <f t="shared" si="1"/>
        <v>1</v>
      </c>
    </row>
    <row r="81">
      <c r="A81" s="3">
        <v>5.0</v>
      </c>
      <c r="B81" s="82" t="s">
        <v>1280</v>
      </c>
      <c r="C81" s="83">
        <v>2008.0</v>
      </c>
      <c r="D81" s="82" t="s">
        <v>1281</v>
      </c>
      <c r="E81" s="100" t="s">
        <v>1282</v>
      </c>
      <c r="J81" s="3" t="s">
        <v>11</v>
      </c>
      <c r="Q81" s="3"/>
      <c r="R81" s="3" t="s">
        <v>185</v>
      </c>
      <c r="Y81" s="85">
        <f t="shared" si="1"/>
        <v>1</v>
      </c>
    </row>
    <row r="82">
      <c r="A82" s="3">
        <v>5.0</v>
      </c>
      <c r="B82" s="82" t="s">
        <v>1283</v>
      </c>
      <c r="C82" s="83">
        <v>2012.0</v>
      </c>
      <c r="D82" s="82" t="s">
        <v>1284</v>
      </c>
      <c r="E82" s="86" t="s">
        <v>1285</v>
      </c>
      <c r="F82" s="61" t="s">
        <v>11</v>
      </c>
      <c r="G82" s="60"/>
      <c r="H82" s="60"/>
      <c r="I82" s="60"/>
      <c r="J82" s="60"/>
      <c r="K82" s="58"/>
      <c r="L82" s="58"/>
      <c r="M82" s="58"/>
      <c r="N82" s="58"/>
      <c r="O82" s="58"/>
      <c r="P82" s="58"/>
      <c r="Q82" s="3"/>
      <c r="R82" s="3" t="s">
        <v>185</v>
      </c>
      <c r="Y82" s="85">
        <f t="shared" si="1"/>
        <v>1</v>
      </c>
    </row>
    <row r="83">
      <c r="A83" s="3">
        <v>5.0</v>
      </c>
      <c r="B83" s="82" t="s">
        <v>1286</v>
      </c>
      <c r="C83" s="83">
        <v>2014.0</v>
      </c>
      <c r="D83" s="82" t="s">
        <v>1287</v>
      </c>
      <c r="E83" s="88" t="s">
        <v>1288</v>
      </c>
      <c r="F83" s="61" t="s">
        <v>11</v>
      </c>
      <c r="G83" s="60"/>
      <c r="H83" s="60"/>
      <c r="I83" s="60"/>
      <c r="J83" s="60"/>
      <c r="K83" s="58"/>
      <c r="L83" s="58"/>
      <c r="M83" s="58"/>
      <c r="N83" s="58"/>
      <c r="O83" s="58"/>
      <c r="P83" s="58"/>
      <c r="Q83" s="3"/>
      <c r="R83" s="3" t="s">
        <v>185</v>
      </c>
      <c r="Y83" s="85">
        <f t="shared" si="1"/>
        <v>1</v>
      </c>
    </row>
    <row r="84">
      <c r="A84" s="3">
        <v>5.0</v>
      </c>
      <c r="B84" s="82" t="s">
        <v>1289</v>
      </c>
      <c r="C84" s="83">
        <v>2009.0</v>
      </c>
      <c r="D84" s="82" t="s">
        <v>1290</v>
      </c>
      <c r="E84" s="95" t="s">
        <v>1291</v>
      </c>
      <c r="J84" s="3" t="s">
        <v>11</v>
      </c>
      <c r="Q84" s="3"/>
      <c r="R84" s="3" t="s">
        <v>185</v>
      </c>
      <c r="Y84" s="85">
        <f t="shared" si="1"/>
        <v>1</v>
      </c>
    </row>
    <row r="85">
      <c r="A85" s="3">
        <v>5.0</v>
      </c>
      <c r="B85" s="82" t="s">
        <v>1292</v>
      </c>
      <c r="C85" s="83">
        <v>2012.0</v>
      </c>
      <c r="D85" s="82" t="s">
        <v>1293</v>
      </c>
      <c r="E85" s="91" t="s">
        <v>1294</v>
      </c>
      <c r="F85" s="61" t="s">
        <v>11</v>
      </c>
      <c r="G85" s="60"/>
      <c r="H85" s="60"/>
      <c r="I85" s="60"/>
      <c r="J85" s="60"/>
      <c r="K85" s="58"/>
      <c r="L85" s="58"/>
      <c r="M85" s="58"/>
      <c r="N85" s="58"/>
      <c r="O85" s="58"/>
      <c r="P85" s="58"/>
      <c r="Q85" s="3"/>
      <c r="R85" s="3" t="s">
        <v>185</v>
      </c>
      <c r="Y85" s="85">
        <f t="shared" si="1"/>
        <v>1</v>
      </c>
    </row>
    <row r="86">
      <c r="A86" s="3">
        <v>5.0</v>
      </c>
      <c r="B86" s="82" t="s">
        <v>138</v>
      </c>
      <c r="C86" s="83">
        <v>2011.0</v>
      </c>
      <c r="D86" s="82" t="s">
        <v>139</v>
      </c>
      <c r="E86" s="91" t="s">
        <v>140</v>
      </c>
      <c r="F86" s="60"/>
      <c r="G86" s="60"/>
      <c r="H86" s="60"/>
      <c r="I86" s="60"/>
      <c r="J86" s="60"/>
      <c r="K86" s="58"/>
      <c r="L86" s="58"/>
      <c r="M86" s="58"/>
      <c r="N86" s="58"/>
      <c r="O86" s="58"/>
      <c r="P86" s="58"/>
      <c r="Q86" s="3"/>
      <c r="R86" s="3" t="s">
        <v>210</v>
      </c>
      <c r="S86" s="3" t="s">
        <v>141</v>
      </c>
      <c r="Y86" s="85">
        <f t="shared" si="1"/>
        <v>1</v>
      </c>
    </row>
    <row r="87">
      <c r="A87" s="3">
        <v>5.0</v>
      </c>
      <c r="B87" s="82" t="s">
        <v>1295</v>
      </c>
      <c r="C87" s="83">
        <v>2016.0</v>
      </c>
      <c r="D87" s="82" t="s">
        <v>1296</v>
      </c>
      <c r="E87" s="84" t="s">
        <v>1297</v>
      </c>
      <c r="F87" s="61" t="s">
        <v>11</v>
      </c>
      <c r="G87" s="60"/>
      <c r="H87" s="60"/>
      <c r="I87" s="60"/>
      <c r="J87" s="60"/>
      <c r="K87" s="58"/>
      <c r="L87" s="58"/>
      <c r="M87" s="58"/>
      <c r="N87" s="58"/>
      <c r="O87" s="58"/>
      <c r="P87" s="58"/>
      <c r="Q87" s="3"/>
      <c r="R87" s="3" t="s">
        <v>185</v>
      </c>
      <c r="Y87" s="85">
        <f t="shared" si="1"/>
        <v>1</v>
      </c>
    </row>
    <row r="88">
      <c r="A88" s="3">
        <v>5.0</v>
      </c>
      <c r="B88" s="82" t="s">
        <v>1298</v>
      </c>
      <c r="C88" s="83">
        <v>2010.0</v>
      </c>
      <c r="D88" s="82" t="s">
        <v>1299</v>
      </c>
      <c r="E88" s="91" t="s">
        <v>1300</v>
      </c>
      <c r="J88" s="3" t="s">
        <v>11</v>
      </c>
      <c r="Q88" s="3"/>
      <c r="R88" s="3" t="s">
        <v>185</v>
      </c>
      <c r="Y88" s="85">
        <f t="shared" si="1"/>
        <v>1</v>
      </c>
    </row>
    <row r="89">
      <c r="A89" s="3">
        <v>5.0</v>
      </c>
      <c r="B89" s="82" t="s">
        <v>1301</v>
      </c>
      <c r="C89" s="83">
        <v>2013.0</v>
      </c>
      <c r="D89" s="82" t="s">
        <v>1302</v>
      </c>
      <c r="E89" s="86" t="s">
        <v>1303</v>
      </c>
      <c r="F89" s="61" t="s">
        <v>11</v>
      </c>
      <c r="G89" s="60"/>
      <c r="H89" s="60"/>
      <c r="I89" s="60"/>
      <c r="J89" s="60"/>
      <c r="K89" s="58"/>
      <c r="L89" s="58"/>
      <c r="M89" s="58"/>
      <c r="N89" s="58"/>
      <c r="O89" s="58"/>
      <c r="P89" s="58"/>
      <c r="Q89" s="3"/>
      <c r="R89" s="3" t="s">
        <v>185</v>
      </c>
      <c r="Y89" s="85">
        <f t="shared" si="1"/>
        <v>1</v>
      </c>
    </row>
    <row r="90">
      <c r="A90" s="3">
        <v>7.0</v>
      </c>
      <c r="B90" s="82" t="s">
        <v>1304</v>
      </c>
      <c r="C90" s="83">
        <v>1990.0</v>
      </c>
      <c r="D90" s="82" t="s">
        <v>1305</v>
      </c>
      <c r="E90" s="84" t="s">
        <v>1306</v>
      </c>
      <c r="J90" s="3" t="s">
        <v>11</v>
      </c>
      <c r="Q90" s="3"/>
      <c r="R90" s="3" t="s">
        <v>185</v>
      </c>
      <c r="Y90" s="85">
        <f t="shared" si="1"/>
        <v>1</v>
      </c>
    </row>
    <row r="91">
      <c r="A91" s="3">
        <v>7.0</v>
      </c>
      <c r="B91" s="82" t="s">
        <v>142</v>
      </c>
      <c r="C91" s="83">
        <v>2016.0</v>
      </c>
      <c r="D91" s="82" t="s">
        <v>143</v>
      </c>
      <c r="E91" s="91" t="s">
        <v>144</v>
      </c>
      <c r="F91" s="60"/>
      <c r="G91" s="60"/>
      <c r="H91" s="60"/>
      <c r="I91" s="60"/>
      <c r="J91" s="60"/>
      <c r="K91" s="58"/>
      <c r="L91" s="58"/>
      <c r="M91" s="58"/>
      <c r="N91" s="58"/>
      <c r="O91" s="58"/>
      <c r="P91" s="58"/>
      <c r="R91" s="3" t="s">
        <v>210</v>
      </c>
      <c r="S91" s="3" t="s">
        <v>145</v>
      </c>
      <c r="Y91" s="85">
        <f t="shared" si="1"/>
        <v>1</v>
      </c>
    </row>
    <row r="92">
      <c r="A92" s="3">
        <v>7.0</v>
      </c>
      <c r="B92" s="82" t="s">
        <v>1307</v>
      </c>
      <c r="C92" s="83">
        <v>2012.0</v>
      </c>
      <c r="D92" s="82" t="s">
        <v>1308</v>
      </c>
      <c r="E92" s="88" t="s">
        <v>1309</v>
      </c>
      <c r="F92" s="61" t="s">
        <v>11</v>
      </c>
      <c r="G92" s="60"/>
      <c r="H92" s="60"/>
      <c r="I92" s="60"/>
      <c r="J92" s="60"/>
      <c r="K92" s="58"/>
      <c r="L92" s="58"/>
      <c r="M92" s="58"/>
      <c r="N92" s="58"/>
      <c r="O92" s="58"/>
      <c r="P92" s="58"/>
      <c r="R92" s="3" t="s">
        <v>185</v>
      </c>
      <c r="Y92" s="85">
        <f t="shared" si="1"/>
        <v>1</v>
      </c>
    </row>
    <row r="93">
      <c r="A93" s="3">
        <v>7.0</v>
      </c>
      <c r="B93" s="82" t="s">
        <v>1310</v>
      </c>
      <c r="C93" s="83">
        <v>2010.0</v>
      </c>
      <c r="D93" s="82" t="s">
        <v>1311</v>
      </c>
      <c r="E93" s="86" t="s">
        <v>1312</v>
      </c>
      <c r="J93" s="3" t="s">
        <v>11</v>
      </c>
      <c r="Q93" s="3"/>
      <c r="R93" s="3" t="s">
        <v>185</v>
      </c>
      <c r="Y93" s="85">
        <f t="shared" si="1"/>
        <v>1</v>
      </c>
    </row>
    <row r="94">
      <c r="A94" s="3">
        <v>7.0</v>
      </c>
      <c r="B94" s="82" t="s">
        <v>1313</v>
      </c>
      <c r="C94" s="83">
        <v>2015.0</v>
      </c>
      <c r="D94" s="82" t="s">
        <v>1314</v>
      </c>
      <c r="E94" s="86" t="s">
        <v>1315</v>
      </c>
      <c r="F94" s="60"/>
      <c r="G94" s="60"/>
      <c r="H94" s="60"/>
      <c r="I94" s="60"/>
      <c r="J94" s="60"/>
      <c r="K94" s="58"/>
      <c r="L94" s="58"/>
      <c r="M94" s="58"/>
      <c r="N94" s="58"/>
      <c r="O94" s="58"/>
      <c r="P94" s="58"/>
      <c r="R94" s="3" t="s">
        <v>185</v>
      </c>
      <c r="Y94" s="85">
        <f t="shared" si="1"/>
        <v>1</v>
      </c>
    </row>
    <row r="95">
      <c r="A95" s="3">
        <v>7.0</v>
      </c>
      <c r="B95" s="82" t="s">
        <v>1316</v>
      </c>
      <c r="C95" s="83">
        <v>2011.0</v>
      </c>
      <c r="D95" s="82" t="s">
        <v>1317</v>
      </c>
      <c r="E95" s="88" t="s">
        <v>1318</v>
      </c>
      <c r="F95" s="61" t="s">
        <v>11</v>
      </c>
      <c r="G95" s="60"/>
      <c r="H95" s="60"/>
      <c r="I95" s="60"/>
      <c r="J95" s="60"/>
      <c r="K95" s="58"/>
      <c r="L95" s="58"/>
      <c r="M95" s="58"/>
      <c r="N95" s="58"/>
      <c r="O95" s="58"/>
      <c r="P95" s="58"/>
      <c r="R95" s="85" t="str">
        <f t="shared" ref="R95:R96" si="2">IF(AND(F95&lt;&gt;"x",G95&lt;&gt;"x",H95&lt;&gt;"x",I95&lt;&gt;"x",J95&lt;&gt;"x",K95&lt;&gt;"x",L95&lt;&gt;"x",M95&lt;&gt;"x",N95&lt;&gt;"x",O95&lt;&gt;"x",P95&lt;&gt;"x", Q95&lt;&gt;"x"),"Yes","No")</f>
        <v>No</v>
      </c>
      <c r="Y95" s="85">
        <f t="shared" si="1"/>
        <v>1</v>
      </c>
    </row>
    <row r="96">
      <c r="A96" s="3">
        <v>7.0</v>
      </c>
      <c r="B96" s="82" t="s">
        <v>1319</v>
      </c>
      <c r="C96" s="83">
        <v>2012.0</v>
      </c>
      <c r="D96" s="82" t="s">
        <v>1320</v>
      </c>
      <c r="E96" s="84" t="s">
        <v>1321</v>
      </c>
      <c r="F96" s="61" t="s">
        <v>11</v>
      </c>
      <c r="G96" s="60"/>
      <c r="H96" s="60"/>
      <c r="I96" s="60"/>
      <c r="J96" s="60"/>
      <c r="K96" s="58"/>
      <c r="L96" s="58"/>
      <c r="M96" s="58"/>
      <c r="N96" s="58"/>
      <c r="O96" s="58"/>
      <c r="P96" s="58"/>
      <c r="R96" s="85" t="str">
        <f t="shared" si="2"/>
        <v>No</v>
      </c>
      <c r="Y96" s="85">
        <f t="shared" si="1"/>
        <v>1</v>
      </c>
    </row>
    <row r="97">
      <c r="A97" s="3">
        <v>7.0</v>
      </c>
      <c r="B97" s="82" t="s">
        <v>1322</v>
      </c>
      <c r="C97" s="83">
        <v>2005.0</v>
      </c>
      <c r="D97" s="82" t="s">
        <v>1323</v>
      </c>
      <c r="E97" s="91" t="s">
        <v>1324</v>
      </c>
      <c r="J97" s="3" t="s">
        <v>11</v>
      </c>
      <c r="Q97" s="3"/>
      <c r="R97" s="3" t="s">
        <v>185</v>
      </c>
      <c r="Y97" s="85">
        <f t="shared" si="1"/>
        <v>1</v>
      </c>
    </row>
    <row r="98">
      <c r="A98" s="3">
        <v>7.0</v>
      </c>
      <c r="B98" s="82" t="s">
        <v>1325</v>
      </c>
      <c r="C98" s="83">
        <v>2005.0</v>
      </c>
      <c r="D98" s="82" t="s">
        <v>1326</v>
      </c>
      <c r="E98" s="88" t="s">
        <v>1327</v>
      </c>
      <c r="J98" s="3" t="s">
        <v>11</v>
      </c>
      <c r="Q98" s="3"/>
      <c r="R98" s="3" t="s">
        <v>185</v>
      </c>
      <c r="Y98" s="85">
        <f t="shared" si="1"/>
        <v>1</v>
      </c>
    </row>
    <row r="99">
      <c r="A99" s="3">
        <v>7.0</v>
      </c>
      <c r="B99" s="82" t="s">
        <v>1328</v>
      </c>
      <c r="C99" s="83">
        <v>2005.0</v>
      </c>
      <c r="D99" s="82" t="s">
        <v>1329</v>
      </c>
      <c r="E99" s="86" t="s">
        <v>1330</v>
      </c>
      <c r="J99" s="3" t="s">
        <v>11</v>
      </c>
      <c r="Q99" s="3"/>
      <c r="R99" s="3" t="s">
        <v>185</v>
      </c>
      <c r="Y99" s="85">
        <f t="shared" si="1"/>
        <v>1</v>
      </c>
    </row>
    <row r="100">
      <c r="A100" s="3">
        <v>7.0</v>
      </c>
      <c r="B100" s="82" t="s">
        <v>1331</v>
      </c>
      <c r="C100" s="83">
        <v>2008.0</v>
      </c>
      <c r="D100" s="82" t="s">
        <v>1332</v>
      </c>
      <c r="E100" s="88" t="s">
        <v>1333</v>
      </c>
      <c r="J100" s="3" t="s">
        <v>11</v>
      </c>
      <c r="Q100" s="3"/>
      <c r="R100" s="3" t="s">
        <v>185</v>
      </c>
      <c r="Y100" s="85">
        <f t="shared" si="1"/>
        <v>1</v>
      </c>
    </row>
    <row r="101">
      <c r="A101" s="3">
        <v>7.0</v>
      </c>
      <c r="B101" s="82" t="s">
        <v>1334</v>
      </c>
      <c r="C101" s="83">
        <v>2008.0</v>
      </c>
      <c r="D101" s="82" t="s">
        <v>1335</v>
      </c>
      <c r="E101" s="86" t="s">
        <v>1336</v>
      </c>
      <c r="J101" s="3" t="s">
        <v>11</v>
      </c>
      <c r="Q101" s="3"/>
      <c r="R101" s="3" t="s">
        <v>185</v>
      </c>
      <c r="Y101" s="85">
        <f t="shared" si="1"/>
        <v>1</v>
      </c>
    </row>
    <row r="102">
      <c r="A102" s="3">
        <v>7.0</v>
      </c>
      <c r="B102" s="82" t="s">
        <v>1337</v>
      </c>
      <c r="C102" s="83">
        <v>2001.0</v>
      </c>
      <c r="D102" s="82" t="s">
        <v>1338</v>
      </c>
      <c r="E102" s="88" t="s">
        <v>1339</v>
      </c>
      <c r="J102" s="3" t="s">
        <v>11</v>
      </c>
      <c r="Q102" s="3"/>
      <c r="R102" s="3" t="s">
        <v>185</v>
      </c>
      <c r="Y102" s="85">
        <f t="shared" si="1"/>
        <v>1</v>
      </c>
    </row>
    <row r="103">
      <c r="A103" s="3">
        <v>7.0</v>
      </c>
      <c r="B103" s="82" t="s">
        <v>1340</v>
      </c>
      <c r="C103" s="83">
        <v>1992.0</v>
      </c>
      <c r="D103" s="82" t="s">
        <v>1341</v>
      </c>
      <c r="E103" s="100" t="s">
        <v>1342</v>
      </c>
      <c r="J103" s="3" t="s">
        <v>11</v>
      </c>
      <c r="Q103" s="3"/>
      <c r="R103" s="3" t="s">
        <v>185</v>
      </c>
      <c r="Y103" s="85">
        <f t="shared" si="1"/>
        <v>1</v>
      </c>
    </row>
    <row r="104">
      <c r="A104" s="3">
        <v>7.0</v>
      </c>
      <c r="B104" s="82" t="s">
        <v>1343</v>
      </c>
      <c r="C104" s="83">
        <v>2004.0</v>
      </c>
      <c r="D104" s="82" t="s">
        <v>1344</v>
      </c>
      <c r="E104" s="95" t="s">
        <v>1345</v>
      </c>
      <c r="J104" s="3" t="s">
        <v>11</v>
      </c>
      <c r="Q104" s="3"/>
      <c r="R104" s="3" t="s">
        <v>185</v>
      </c>
      <c r="Y104" s="85">
        <f t="shared" si="1"/>
        <v>1</v>
      </c>
    </row>
    <row r="105">
      <c r="A105" s="73">
        <v>45603.0</v>
      </c>
      <c r="B105" s="82" t="s">
        <v>1346</v>
      </c>
      <c r="C105" s="83">
        <v>2009.0</v>
      </c>
      <c r="D105" s="82" t="s">
        <v>1347</v>
      </c>
      <c r="E105" s="95" t="s">
        <v>1348</v>
      </c>
      <c r="J105" s="3" t="s">
        <v>11</v>
      </c>
      <c r="Q105" s="3"/>
      <c r="R105" s="3" t="s">
        <v>185</v>
      </c>
      <c r="Y105" s="85">
        <f t="shared" si="1"/>
        <v>1</v>
      </c>
    </row>
    <row r="106">
      <c r="A106" s="3">
        <v>7.0</v>
      </c>
      <c r="B106" s="82" t="s">
        <v>1349</v>
      </c>
      <c r="C106" s="83">
        <v>2014.0</v>
      </c>
      <c r="D106" s="82" t="s">
        <v>1350</v>
      </c>
      <c r="E106" s="96" t="s">
        <v>1351</v>
      </c>
      <c r="F106" s="61" t="s">
        <v>11</v>
      </c>
      <c r="G106" s="60"/>
      <c r="H106" s="60"/>
      <c r="I106" s="60"/>
      <c r="J106" s="60"/>
      <c r="K106" s="58"/>
      <c r="L106" s="58"/>
      <c r="M106" s="58"/>
      <c r="N106" s="58"/>
      <c r="O106" s="58"/>
      <c r="P106" s="58"/>
      <c r="R106" s="85" t="str">
        <f>IF(AND(F106&lt;&gt;"x",G106&lt;&gt;"x",H106&lt;&gt;"x",I106&lt;&gt;"x",J106&lt;&gt;"x",K106&lt;&gt;"x",L106&lt;&gt;"x",M106&lt;&gt;"x",N106&lt;&gt;"x",O106&lt;&gt;"x",P106&lt;&gt;"x", Q106&lt;&gt;"x"),"Yes","No")</f>
        <v>No</v>
      </c>
      <c r="Y106" s="85">
        <f t="shared" si="1"/>
        <v>1</v>
      </c>
    </row>
    <row r="107">
      <c r="A107" s="3">
        <v>7.0</v>
      </c>
      <c r="B107" s="82" t="s">
        <v>1352</v>
      </c>
      <c r="C107" s="83">
        <v>2009.0</v>
      </c>
      <c r="D107" s="82" t="s">
        <v>1353</v>
      </c>
      <c r="E107" s="96" t="s">
        <v>1354</v>
      </c>
      <c r="J107" s="3" t="s">
        <v>11</v>
      </c>
      <c r="Q107" s="3"/>
      <c r="R107" s="3" t="s">
        <v>185</v>
      </c>
      <c r="Y107" s="85">
        <f t="shared" si="1"/>
        <v>1</v>
      </c>
    </row>
    <row r="108">
      <c r="A108" s="3">
        <v>7.0</v>
      </c>
      <c r="B108" s="82" t="s">
        <v>1355</v>
      </c>
      <c r="C108" s="83">
        <v>2004.0</v>
      </c>
      <c r="D108" s="82" t="s">
        <v>1356</v>
      </c>
      <c r="E108" s="96" t="s">
        <v>1357</v>
      </c>
      <c r="J108" s="3" t="s">
        <v>11</v>
      </c>
      <c r="Q108" s="3"/>
      <c r="R108" s="3" t="s">
        <v>185</v>
      </c>
      <c r="Y108" s="85">
        <f t="shared" si="1"/>
        <v>1</v>
      </c>
    </row>
    <row r="109">
      <c r="A109" s="3">
        <v>7.0</v>
      </c>
      <c r="B109" s="82" t="s">
        <v>1358</v>
      </c>
      <c r="C109" s="83">
        <v>2012.0</v>
      </c>
      <c r="D109" s="82" t="s">
        <v>1359</v>
      </c>
      <c r="E109" s="100" t="s">
        <v>1360</v>
      </c>
      <c r="F109" s="61" t="s">
        <v>11</v>
      </c>
      <c r="G109" s="60"/>
      <c r="H109" s="60"/>
      <c r="I109" s="60"/>
      <c r="J109" s="60"/>
      <c r="K109" s="58"/>
      <c r="L109" s="58"/>
      <c r="M109" s="58"/>
      <c r="N109" s="59" t="s">
        <v>11</v>
      </c>
      <c r="O109" s="58"/>
      <c r="P109" s="58"/>
      <c r="R109" s="85" t="str">
        <f>IF(AND(F109&lt;&gt;"x",G109&lt;&gt;"x",H109&lt;&gt;"x",I109&lt;&gt;"x",J109&lt;&gt;"x",K109&lt;&gt;"x",L109&lt;&gt;"x",M109&lt;&gt;"x",N109&lt;&gt;"x",O109&lt;&gt;"x",P109&lt;&gt;"x", Q109&lt;&gt;"x"),"Yes","No")</f>
        <v>No</v>
      </c>
      <c r="Y109" s="85">
        <f t="shared" si="1"/>
        <v>1</v>
      </c>
    </row>
    <row r="110">
      <c r="A110" s="3">
        <v>7.0</v>
      </c>
      <c r="B110" s="82" t="s">
        <v>1361</v>
      </c>
      <c r="C110" s="83">
        <v>2009.0</v>
      </c>
      <c r="D110" s="82" t="s">
        <v>1362</v>
      </c>
      <c r="E110" s="95" t="s">
        <v>1363</v>
      </c>
      <c r="J110" s="3" t="s">
        <v>11</v>
      </c>
      <c r="Q110" s="3"/>
      <c r="R110" s="3" t="s">
        <v>185</v>
      </c>
      <c r="Y110" s="85">
        <f t="shared" si="1"/>
        <v>1</v>
      </c>
    </row>
    <row r="111">
      <c r="A111" s="3">
        <v>7.0</v>
      </c>
      <c r="B111" s="82" t="s">
        <v>1364</v>
      </c>
      <c r="C111" s="83">
        <v>1996.0</v>
      </c>
      <c r="D111" s="82" t="s">
        <v>1365</v>
      </c>
      <c r="E111" s="101" t="s">
        <v>1366</v>
      </c>
      <c r="J111" s="3" t="s">
        <v>11</v>
      </c>
      <c r="Q111" s="3"/>
      <c r="R111" s="3" t="s">
        <v>185</v>
      </c>
      <c r="Y111" s="85">
        <f t="shared" si="1"/>
        <v>1</v>
      </c>
    </row>
    <row r="112">
      <c r="A112" s="3">
        <v>7.0</v>
      </c>
      <c r="B112" s="82" t="s">
        <v>1364</v>
      </c>
      <c r="C112" s="83">
        <v>1998.0</v>
      </c>
      <c r="D112" s="82" t="s">
        <v>1365</v>
      </c>
      <c r="E112" s="102" t="s">
        <v>1367</v>
      </c>
      <c r="I112" s="103"/>
      <c r="J112" s="3" t="s">
        <v>11</v>
      </c>
      <c r="Q112" s="3"/>
      <c r="R112" s="3" t="s">
        <v>185</v>
      </c>
      <c r="Y112" s="85">
        <f t="shared" si="1"/>
        <v>1</v>
      </c>
    </row>
    <row r="113">
      <c r="A113" s="3">
        <v>8.0</v>
      </c>
      <c r="B113" s="82" t="s">
        <v>1368</v>
      </c>
      <c r="C113" s="83">
        <v>2013.0</v>
      </c>
      <c r="D113" s="82" t="s">
        <v>1369</v>
      </c>
      <c r="E113" s="88" t="s">
        <v>1370</v>
      </c>
      <c r="F113" s="60"/>
      <c r="G113" s="61" t="s">
        <v>11</v>
      </c>
      <c r="H113" s="60"/>
      <c r="I113" s="60"/>
      <c r="J113" s="60"/>
      <c r="K113" s="58"/>
      <c r="L113" s="58"/>
      <c r="M113" s="58"/>
      <c r="N113" s="58"/>
      <c r="O113" s="58"/>
      <c r="P113" s="58"/>
      <c r="R113" s="85" t="str">
        <f>IF(AND(F113&lt;&gt;"x",G113&lt;&gt;"x",H113&lt;&gt;"x",I113&lt;&gt;"x",J113&lt;&gt;"x",K113&lt;&gt;"x",L113&lt;&gt;"x",M113&lt;&gt;"x",N113&lt;&gt;"x",O113&lt;&gt;"x",P113&lt;&gt;"x", Q113&lt;&gt;"x"),"Yes","No")</f>
        <v>No</v>
      </c>
      <c r="Y113" s="85">
        <f t="shared" si="1"/>
        <v>1</v>
      </c>
    </row>
    <row r="114">
      <c r="A114" s="3">
        <v>8.0</v>
      </c>
      <c r="B114" s="82" t="s">
        <v>1371</v>
      </c>
      <c r="C114" s="83">
        <v>2004.0</v>
      </c>
      <c r="D114" s="82" t="s">
        <v>1372</v>
      </c>
      <c r="E114" s="86" t="s">
        <v>1373</v>
      </c>
      <c r="J114" s="3" t="s">
        <v>11</v>
      </c>
      <c r="Q114" s="3"/>
      <c r="R114" s="3" t="s">
        <v>185</v>
      </c>
      <c r="Y114" s="85">
        <f t="shared" si="1"/>
        <v>1</v>
      </c>
    </row>
    <row r="115">
      <c r="A115" s="3">
        <v>8.0</v>
      </c>
      <c r="B115" s="82" t="s">
        <v>1374</v>
      </c>
      <c r="C115" s="83">
        <v>2013.0</v>
      </c>
      <c r="D115" s="82" t="s">
        <v>1375</v>
      </c>
      <c r="E115" s="88" t="s">
        <v>1376</v>
      </c>
      <c r="F115" s="60"/>
      <c r="G115" s="60"/>
      <c r="H115" s="61" t="s">
        <v>11</v>
      </c>
      <c r="I115" s="60"/>
      <c r="J115" s="60"/>
      <c r="K115" s="58"/>
      <c r="L115" s="58"/>
      <c r="M115" s="58"/>
      <c r="N115" s="58"/>
      <c r="O115" s="58"/>
      <c r="P115" s="58"/>
      <c r="R115" s="85" t="str">
        <f t="shared" ref="R115:R116" si="3">IF(AND(F115&lt;&gt;"x",G115&lt;&gt;"x",H115&lt;&gt;"x",I115&lt;&gt;"x",J115&lt;&gt;"x",K115&lt;&gt;"x",L115&lt;&gt;"x",M115&lt;&gt;"x",N115&lt;&gt;"x",O115&lt;&gt;"x",P115&lt;&gt;"x", Q115&lt;&gt;"x"),"Yes","No")</f>
        <v>No</v>
      </c>
      <c r="Y115" s="85">
        <f t="shared" si="1"/>
        <v>1</v>
      </c>
    </row>
    <row r="116">
      <c r="A116" s="3">
        <v>8.0</v>
      </c>
      <c r="B116" s="82" t="s">
        <v>1377</v>
      </c>
      <c r="C116" s="83">
        <v>2011.0</v>
      </c>
      <c r="D116" s="82" t="s">
        <v>1378</v>
      </c>
      <c r="E116" s="84" t="s">
        <v>1379</v>
      </c>
      <c r="F116" s="60"/>
      <c r="G116" s="60"/>
      <c r="H116" s="61" t="s">
        <v>11</v>
      </c>
      <c r="I116" s="60"/>
      <c r="J116" s="60"/>
      <c r="K116" s="58"/>
      <c r="L116" s="58"/>
      <c r="M116" s="58"/>
      <c r="N116" s="58"/>
      <c r="O116" s="58"/>
      <c r="P116" s="58"/>
      <c r="R116" s="85" t="str">
        <f t="shared" si="3"/>
        <v>No</v>
      </c>
      <c r="Y116" s="85">
        <f t="shared" si="1"/>
        <v>1</v>
      </c>
    </row>
    <row r="117">
      <c r="A117" s="3">
        <v>8.0</v>
      </c>
      <c r="B117" s="82" t="s">
        <v>1380</v>
      </c>
      <c r="C117" s="83">
        <v>2005.0</v>
      </c>
      <c r="D117" s="82" t="s">
        <v>1329</v>
      </c>
      <c r="E117" s="86" t="s">
        <v>1381</v>
      </c>
      <c r="J117" s="3" t="s">
        <v>11</v>
      </c>
      <c r="Q117" s="3"/>
      <c r="R117" s="3" t="s">
        <v>185</v>
      </c>
      <c r="Y117" s="85">
        <f t="shared" si="1"/>
        <v>1</v>
      </c>
    </row>
    <row r="118">
      <c r="A118" s="3" t="s">
        <v>149</v>
      </c>
      <c r="B118" s="82" t="s">
        <v>1382</v>
      </c>
      <c r="C118" s="83">
        <v>1997.0</v>
      </c>
      <c r="D118" s="82" t="s">
        <v>1383</v>
      </c>
      <c r="E118" s="86" t="s">
        <v>1384</v>
      </c>
      <c r="J118" s="3" t="s">
        <v>11</v>
      </c>
      <c r="Q118" s="3"/>
      <c r="R118" s="3" t="s">
        <v>185</v>
      </c>
      <c r="Y118" s="85">
        <f t="shared" si="1"/>
        <v>1</v>
      </c>
    </row>
    <row r="119">
      <c r="A119" s="3">
        <v>8.0</v>
      </c>
      <c r="B119" s="82" t="s">
        <v>1385</v>
      </c>
      <c r="C119" s="83">
        <v>2013.0</v>
      </c>
      <c r="D119" s="82" t="s">
        <v>1386</v>
      </c>
      <c r="E119" s="88" t="s">
        <v>1387</v>
      </c>
      <c r="F119" s="61" t="s">
        <v>11</v>
      </c>
      <c r="G119" s="60"/>
      <c r="H119" s="60"/>
      <c r="I119" s="60"/>
      <c r="J119" s="60"/>
      <c r="K119" s="58"/>
      <c r="L119" s="58"/>
      <c r="M119" s="58"/>
      <c r="N119" s="58"/>
      <c r="O119" s="58"/>
      <c r="P119" s="58"/>
      <c r="R119" s="85" t="str">
        <f t="shared" ref="R119:R122" si="4">IF(AND(F119&lt;&gt;"x",G119&lt;&gt;"x",H119&lt;&gt;"x",I119&lt;&gt;"x",J119&lt;&gt;"x",K119&lt;&gt;"x",L119&lt;&gt;"x",M119&lt;&gt;"x",N119&lt;&gt;"x",O119&lt;&gt;"x",P119&lt;&gt;"x", Q119&lt;&gt;"x"),"Yes","No")</f>
        <v>No</v>
      </c>
      <c r="Y119" s="85">
        <f t="shared" si="1"/>
        <v>1</v>
      </c>
    </row>
    <row r="120">
      <c r="A120" s="3">
        <v>8.0</v>
      </c>
      <c r="B120" s="82" t="s">
        <v>1388</v>
      </c>
      <c r="C120" s="83">
        <v>2013.0</v>
      </c>
      <c r="D120" s="82" t="s">
        <v>1389</v>
      </c>
      <c r="E120" s="91" t="s">
        <v>1390</v>
      </c>
      <c r="F120" s="60"/>
      <c r="G120" s="61" t="s">
        <v>11</v>
      </c>
      <c r="H120" s="60"/>
      <c r="I120" s="60"/>
      <c r="J120" s="60"/>
      <c r="K120" s="58"/>
      <c r="L120" s="58"/>
      <c r="M120" s="58"/>
      <c r="N120" s="58"/>
      <c r="O120" s="58"/>
      <c r="P120" s="58"/>
      <c r="R120" s="85" t="str">
        <f t="shared" si="4"/>
        <v>No</v>
      </c>
      <c r="Y120" s="85">
        <f t="shared" si="1"/>
        <v>1</v>
      </c>
    </row>
    <row r="121">
      <c r="A121" s="3" t="s">
        <v>1391</v>
      </c>
      <c r="B121" s="82" t="s">
        <v>146</v>
      </c>
      <c r="C121" s="83">
        <v>2012.0</v>
      </c>
      <c r="D121" s="82" t="s">
        <v>147</v>
      </c>
      <c r="E121" s="86" t="s">
        <v>148</v>
      </c>
      <c r="F121" s="60"/>
      <c r="G121" s="60"/>
      <c r="H121" s="60"/>
      <c r="I121" s="60"/>
      <c r="J121" s="60"/>
      <c r="K121" s="58"/>
      <c r="L121" s="58"/>
      <c r="M121" s="58"/>
      <c r="N121" s="58"/>
      <c r="O121" s="58"/>
      <c r="P121" s="58"/>
      <c r="R121" s="85" t="str">
        <f t="shared" si="4"/>
        <v>Yes</v>
      </c>
      <c r="S121" s="3" t="s">
        <v>150</v>
      </c>
      <c r="Y121" s="85">
        <f t="shared" si="1"/>
        <v>1</v>
      </c>
    </row>
    <row r="122">
      <c r="A122" s="3" t="s">
        <v>1391</v>
      </c>
      <c r="B122" s="82" t="s">
        <v>1392</v>
      </c>
      <c r="C122" s="83">
        <v>2012.0</v>
      </c>
      <c r="D122" s="82" t="s">
        <v>1393</v>
      </c>
      <c r="E122" s="86" t="s">
        <v>1394</v>
      </c>
      <c r="F122" s="61" t="s">
        <v>11</v>
      </c>
      <c r="G122" s="60"/>
      <c r="H122" s="60"/>
      <c r="I122" s="60"/>
      <c r="J122" s="60"/>
      <c r="K122" s="58"/>
      <c r="L122" s="58"/>
      <c r="M122" s="58"/>
      <c r="N122" s="58"/>
      <c r="O122" s="58"/>
      <c r="P122" s="58"/>
      <c r="R122" s="85" t="str">
        <f t="shared" si="4"/>
        <v>No</v>
      </c>
      <c r="S122" s="3" t="s">
        <v>1395</v>
      </c>
      <c r="Y122" s="85">
        <f t="shared" si="1"/>
        <v>1</v>
      </c>
    </row>
    <row r="123">
      <c r="A123" s="3">
        <v>8.0</v>
      </c>
      <c r="B123" s="82" t="s">
        <v>1396</v>
      </c>
      <c r="C123" s="83">
        <v>1998.0</v>
      </c>
      <c r="D123" s="82" t="s">
        <v>1397</v>
      </c>
      <c r="E123" s="91" t="s">
        <v>1398</v>
      </c>
      <c r="J123" s="3" t="s">
        <v>11</v>
      </c>
      <c r="Q123" s="3"/>
      <c r="R123" s="3" t="s">
        <v>185</v>
      </c>
      <c r="Y123" s="85">
        <f t="shared" si="1"/>
        <v>1</v>
      </c>
    </row>
    <row r="124">
      <c r="A124" s="3">
        <v>8.0</v>
      </c>
      <c r="B124" s="82" t="s">
        <v>1399</v>
      </c>
      <c r="C124" s="83">
        <v>2007.0</v>
      </c>
      <c r="D124" s="82" t="s">
        <v>1400</v>
      </c>
      <c r="E124" s="88" t="s">
        <v>1401</v>
      </c>
      <c r="J124" s="3" t="s">
        <v>11</v>
      </c>
      <c r="Q124" s="3"/>
      <c r="R124" s="3" t="s">
        <v>185</v>
      </c>
      <c r="Y124" s="85">
        <f t="shared" si="1"/>
        <v>1</v>
      </c>
    </row>
    <row r="125">
      <c r="A125" s="3">
        <v>8.0</v>
      </c>
      <c r="B125" s="82" t="s">
        <v>1402</v>
      </c>
      <c r="C125" s="83">
        <v>2008.0</v>
      </c>
      <c r="D125" s="82" t="s">
        <v>1403</v>
      </c>
      <c r="E125" s="91" t="s">
        <v>1404</v>
      </c>
      <c r="J125" s="3" t="s">
        <v>11</v>
      </c>
      <c r="Q125" s="3"/>
      <c r="R125" s="3" t="s">
        <v>185</v>
      </c>
      <c r="Y125" s="85">
        <f t="shared" si="1"/>
        <v>1</v>
      </c>
    </row>
    <row r="126">
      <c r="A126" s="3">
        <v>8.0</v>
      </c>
      <c r="B126" s="82" t="s">
        <v>1405</v>
      </c>
      <c r="C126" s="83">
        <v>2000.0</v>
      </c>
      <c r="D126" s="82" t="s">
        <v>1406</v>
      </c>
      <c r="E126" s="86" t="s">
        <v>1407</v>
      </c>
      <c r="J126" s="3" t="s">
        <v>11</v>
      </c>
      <c r="Q126" s="3"/>
      <c r="R126" s="3" t="s">
        <v>185</v>
      </c>
      <c r="Y126" s="85">
        <f t="shared" si="1"/>
        <v>1</v>
      </c>
    </row>
    <row r="127">
      <c r="A127" s="3">
        <v>8.0</v>
      </c>
      <c r="B127" s="82" t="s">
        <v>1408</v>
      </c>
      <c r="C127" s="83">
        <v>2002.0</v>
      </c>
      <c r="D127" s="82" t="s">
        <v>1409</v>
      </c>
      <c r="E127" s="84" t="s">
        <v>1410</v>
      </c>
      <c r="J127" s="3" t="s">
        <v>11</v>
      </c>
      <c r="Q127" s="3"/>
      <c r="R127" s="3" t="s">
        <v>185</v>
      </c>
      <c r="Y127" s="85">
        <f t="shared" si="1"/>
        <v>1</v>
      </c>
    </row>
    <row r="128">
      <c r="A128" s="3">
        <v>8.0</v>
      </c>
      <c r="B128" s="82" t="s">
        <v>1411</v>
      </c>
      <c r="C128" s="83">
        <v>2005.0</v>
      </c>
      <c r="D128" s="82" t="s">
        <v>1412</v>
      </c>
      <c r="E128" s="88" t="s">
        <v>1413</v>
      </c>
      <c r="J128" s="3" t="s">
        <v>11</v>
      </c>
      <c r="Q128" s="3"/>
      <c r="R128" s="3" t="s">
        <v>185</v>
      </c>
      <c r="Y128" s="85">
        <f t="shared" si="1"/>
        <v>1</v>
      </c>
    </row>
    <row r="129">
      <c r="A129" s="3">
        <v>9.0</v>
      </c>
      <c r="B129" s="82" t="s">
        <v>1414</v>
      </c>
      <c r="C129" s="83">
        <v>2020.0</v>
      </c>
      <c r="D129" s="82" t="s">
        <v>1415</v>
      </c>
      <c r="E129" s="98" t="s">
        <v>1416</v>
      </c>
      <c r="F129" s="60"/>
      <c r="G129" s="60"/>
      <c r="H129" s="60"/>
      <c r="I129" s="60"/>
      <c r="J129" s="60"/>
      <c r="K129" s="58"/>
      <c r="L129" s="58"/>
      <c r="M129" s="58"/>
      <c r="N129" s="58"/>
      <c r="O129" s="58"/>
      <c r="P129" s="58"/>
      <c r="Q129" s="3"/>
      <c r="R129" s="3" t="s">
        <v>185</v>
      </c>
      <c r="S129" s="3" t="s">
        <v>1035</v>
      </c>
      <c r="Y129" s="85">
        <f t="shared" si="1"/>
        <v>1</v>
      </c>
    </row>
    <row r="130">
      <c r="A130" s="3">
        <v>9.0</v>
      </c>
      <c r="B130" s="82" t="s">
        <v>1417</v>
      </c>
      <c r="C130" s="83">
        <v>2016.0</v>
      </c>
      <c r="D130" s="82" t="s">
        <v>1418</v>
      </c>
      <c r="E130" s="103" t="s">
        <v>1419</v>
      </c>
      <c r="F130" s="61" t="s">
        <v>11</v>
      </c>
      <c r="G130" s="60"/>
      <c r="H130" s="60"/>
      <c r="I130" s="60"/>
      <c r="J130" s="60"/>
      <c r="K130" s="58"/>
      <c r="L130" s="58"/>
      <c r="M130" s="58"/>
      <c r="N130" s="58"/>
      <c r="O130" s="58"/>
      <c r="P130" s="58"/>
      <c r="R130" s="85" t="str">
        <f>IF(AND(F130&lt;&gt;"x",G130&lt;&gt;"x",H130&lt;&gt;"x",I130&lt;&gt;"x",J130&lt;&gt;"x",K130&lt;&gt;"x",L130&lt;&gt;"x",M130&lt;&gt;"x",N130&lt;&gt;"x",O130&lt;&gt;"x",P130&lt;&gt;"x", Q130&lt;&gt;"x"),"Yes","No")</f>
        <v>No</v>
      </c>
      <c r="Y130" s="85">
        <f t="shared" si="1"/>
        <v>1</v>
      </c>
    </row>
    <row r="131">
      <c r="A131" s="3">
        <v>9.0</v>
      </c>
      <c r="B131" s="82" t="s">
        <v>1420</v>
      </c>
      <c r="C131" s="83">
        <v>2009.0</v>
      </c>
      <c r="D131" s="82" t="s">
        <v>1421</v>
      </c>
      <c r="E131" s="95" t="s">
        <v>1422</v>
      </c>
      <c r="J131" s="3" t="s">
        <v>11</v>
      </c>
      <c r="Q131" s="3"/>
      <c r="R131" s="3" t="s">
        <v>185</v>
      </c>
      <c r="Y131" s="85">
        <f t="shared" si="1"/>
        <v>1</v>
      </c>
    </row>
    <row r="132">
      <c r="A132" s="3">
        <v>9.0</v>
      </c>
      <c r="B132" s="82" t="s">
        <v>1423</v>
      </c>
      <c r="C132" s="83">
        <v>2017.0</v>
      </c>
      <c r="D132" s="82" t="s">
        <v>1424</v>
      </c>
      <c r="E132" s="101" t="s">
        <v>1425</v>
      </c>
      <c r="F132" s="61" t="s">
        <v>11</v>
      </c>
      <c r="G132" s="60"/>
      <c r="H132" s="60"/>
      <c r="I132" s="60"/>
      <c r="J132" s="60"/>
      <c r="K132" s="58"/>
      <c r="L132" s="58"/>
      <c r="M132" s="58"/>
      <c r="N132" s="58"/>
      <c r="O132" s="58"/>
      <c r="P132" s="58"/>
      <c r="R132" s="85" t="str">
        <f t="shared" ref="R132:R133" si="5">IF(AND(F132&lt;&gt;"x",G132&lt;&gt;"x",H132&lt;&gt;"x",I132&lt;&gt;"x",J132&lt;&gt;"x",K132&lt;&gt;"x",L132&lt;&gt;"x",M132&lt;&gt;"x",N132&lt;&gt;"x",O132&lt;&gt;"x",P132&lt;&gt;"x", Q132&lt;&gt;"x"),"Yes","No")</f>
        <v>No</v>
      </c>
      <c r="Y132" s="85">
        <f t="shared" si="1"/>
        <v>1</v>
      </c>
    </row>
    <row r="133">
      <c r="A133" s="3">
        <v>9.0</v>
      </c>
      <c r="B133" s="82" t="s">
        <v>1426</v>
      </c>
      <c r="C133" s="83">
        <v>2018.0</v>
      </c>
      <c r="D133" s="82" t="s">
        <v>1427</v>
      </c>
      <c r="E133" s="104" t="s">
        <v>1428</v>
      </c>
      <c r="F133" s="61" t="s">
        <v>11</v>
      </c>
      <c r="G133" s="60"/>
      <c r="H133" s="60"/>
      <c r="I133" s="60"/>
      <c r="J133" s="60"/>
      <c r="K133" s="58"/>
      <c r="L133" s="58"/>
      <c r="M133" s="58"/>
      <c r="N133" s="58"/>
      <c r="O133" s="58"/>
      <c r="P133" s="58"/>
      <c r="R133" s="85" t="str">
        <f t="shared" si="5"/>
        <v>No</v>
      </c>
      <c r="Y133" s="85">
        <f t="shared" si="1"/>
        <v>1</v>
      </c>
    </row>
    <row r="134">
      <c r="A134" s="3">
        <v>9.0</v>
      </c>
      <c r="B134" s="82" t="s">
        <v>1429</v>
      </c>
      <c r="C134" s="83">
        <v>2010.0</v>
      </c>
      <c r="D134" s="82" t="s">
        <v>1430</v>
      </c>
      <c r="E134" s="95" t="s">
        <v>1431</v>
      </c>
      <c r="J134" s="3" t="s">
        <v>11</v>
      </c>
      <c r="Q134" s="3"/>
      <c r="R134" s="3" t="s">
        <v>185</v>
      </c>
      <c r="Y134" s="85">
        <f t="shared" si="1"/>
        <v>1</v>
      </c>
    </row>
    <row r="135">
      <c r="A135" s="3">
        <v>9.0</v>
      </c>
      <c r="B135" s="82" t="s">
        <v>1432</v>
      </c>
      <c r="C135" s="83">
        <v>2001.0</v>
      </c>
      <c r="D135" s="82" t="s">
        <v>1433</v>
      </c>
      <c r="E135" s="96" t="s">
        <v>1434</v>
      </c>
      <c r="J135" s="3" t="s">
        <v>11</v>
      </c>
      <c r="Q135" s="3"/>
      <c r="R135" s="3" t="s">
        <v>185</v>
      </c>
      <c r="Y135" s="85">
        <f t="shared" si="1"/>
        <v>1</v>
      </c>
    </row>
    <row r="136">
      <c r="A136" s="3">
        <v>9.0</v>
      </c>
      <c r="B136" s="82" t="s">
        <v>1435</v>
      </c>
      <c r="C136" s="83">
        <v>2020.0</v>
      </c>
      <c r="D136" s="82" t="s">
        <v>1436</v>
      </c>
      <c r="E136" s="84" t="s">
        <v>1437</v>
      </c>
      <c r="F136" s="60"/>
      <c r="G136" s="60"/>
      <c r="H136" s="60"/>
      <c r="I136" s="60"/>
      <c r="J136" s="60"/>
      <c r="K136" s="58"/>
      <c r="L136" s="58"/>
      <c r="M136" s="58"/>
      <c r="N136" s="58"/>
      <c r="O136" s="58"/>
      <c r="P136" s="58"/>
      <c r="Q136" s="3"/>
      <c r="R136" s="3" t="s">
        <v>185</v>
      </c>
      <c r="S136" s="3" t="s">
        <v>1438</v>
      </c>
      <c r="Y136" s="85">
        <f t="shared" si="1"/>
        <v>1</v>
      </c>
    </row>
    <row r="137">
      <c r="A137" s="3">
        <v>9.0</v>
      </c>
      <c r="B137" s="82" t="s">
        <v>1439</v>
      </c>
      <c r="C137" s="83">
        <v>2000.0</v>
      </c>
      <c r="D137" s="82" t="s">
        <v>1440</v>
      </c>
      <c r="E137" s="96" t="s">
        <v>1441</v>
      </c>
      <c r="J137" s="3" t="s">
        <v>11</v>
      </c>
      <c r="Q137" s="3"/>
      <c r="R137" s="3" t="s">
        <v>185</v>
      </c>
      <c r="Y137" s="85">
        <f t="shared" si="1"/>
        <v>1</v>
      </c>
    </row>
    <row r="138">
      <c r="A138" s="3">
        <v>9.0</v>
      </c>
      <c r="B138" s="82" t="s">
        <v>1442</v>
      </c>
      <c r="C138" s="83">
        <v>1999.0</v>
      </c>
      <c r="D138" s="82" t="s">
        <v>1443</v>
      </c>
      <c r="E138" s="96" t="s">
        <v>1444</v>
      </c>
      <c r="J138" s="3" t="s">
        <v>11</v>
      </c>
      <c r="Q138" s="3"/>
      <c r="R138" s="3" t="s">
        <v>185</v>
      </c>
      <c r="Y138" s="85">
        <f t="shared" si="1"/>
        <v>1</v>
      </c>
    </row>
    <row r="139">
      <c r="A139" s="3">
        <v>9.0</v>
      </c>
      <c r="B139" s="82" t="s">
        <v>1445</v>
      </c>
      <c r="C139" s="83">
        <v>2008.0</v>
      </c>
      <c r="D139" s="90"/>
      <c r="E139" s="101" t="s">
        <v>1446</v>
      </c>
      <c r="J139" s="3" t="s">
        <v>11</v>
      </c>
      <c r="Q139" s="3"/>
      <c r="R139" s="3" t="s">
        <v>185</v>
      </c>
      <c r="Y139" s="85">
        <f t="shared" si="1"/>
        <v>1</v>
      </c>
    </row>
    <row r="140">
      <c r="A140" s="3">
        <v>9.0</v>
      </c>
      <c r="B140" s="82" t="s">
        <v>1447</v>
      </c>
      <c r="C140" s="83">
        <v>2007.0</v>
      </c>
      <c r="D140" s="82" t="s">
        <v>1448</v>
      </c>
      <c r="E140" s="95" t="s">
        <v>1449</v>
      </c>
      <c r="J140" s="3" t="s">
        <v>11</v>
      </c>
      <c r="Q140" s="3"/>
      <c r="R140" s="3" t="s">
        <v>185</v>
      </c>
      <c r="Y140" s="85">
        <f t="shared" si="1"/>
        <v>1</v>
      </c>
    </row>
    <row r="141">
      <c r="A141" s="3">
        <v>9.0</v>
      </c>
      <c r="B141" s="82" t="s">
        <v>1450</v>
      </c>
      <c r="C141" s="83">
        <v>2011.0</v>
      </c>
      <c r="D141" s="82" t="s">
        <v>1448</v>
      </c>
      <c r="E141" s="105" t="s">
        <v>1451</v>
      </c>
      <c r="F141" s="61" t="s">
        <v>11</v>
      </c>
      <c r="G141" s="60"/>
      <c r="H141" s="60"/>
      <c r="I141" s="60"/>
      <c r="J141" s="60"/>
      <c r="K141" s="58"/>
      <c r="L141" s="58"/>
      <c r="M141" s="58"/>
      <c r="N141" s="58"/>
      <c r="O141" s="58"/>
      <c r="P141" s="58"/>
      <c r="R141" s="85" t="str">
        <f t="shared" ref="R141:R142" si="6">IF(AND(F141&lt;&gt;"x",G141&lt;&gt;"x",H141&lt;&gt;"x",I141&lt;&gt;"x",J141&lt;&gt;"x",K141&lt;&gt;"x",L141&lt;&gt;"x",M141&lt;&gt;"x",N141&lt;&gt;"x",O141&lt;&gt;"x",P141&lt;&gt;"x", Q141&lt;&gt;"x"),"Yes","No")</f>
        <v>No</v>
      </c>
      <c r="Y141" s="85">
        <f t="shared" si="1"/>
        <v>1</v>
      </c>
    </row>
    <row r="142">
      <c r="A142" s="3">
        <v>9.0</v>
      </c>
      <c r="B142" s="82" t="s">
        <v>1452</v>
      </c>
      <c r="C142" s="83">
        <v>2014.0</v>
      </c>
      <c r="D142" s="82" t="s">
        <v>1453</v>
      </c>
      <c r="E142" s="96" t="s">
        <v>1454</v>
      </c>
      <c r="F142" s="60"/>
      <c r="G142" s="60"/>
      <c r="H142" s="61" t="s">
        <v>11</v>
      </c>
      <c r="I142" s="60"/>
      <c r="J142" s="60"/>
      <c r="K142" s="58"/>
      <c r="L142" s="58"/>
      <c r="M142" s="58"/>
      <c r="N142" s="58"/>
      <c r="O142" s="58"/>
      <c r="P142" s="58"/>
      <c r="R142" s="85" t="str">
        <f t="shared" si="6"/>
        <v>No</v>
      </c>
      <c r="Y142" s="85">
        <f t="shared" si="1"/>
        <v>1</v>
      </c>
    </row>
    <row r="143">
      <c r="A143" s="3">
        <v>9.0</v>
      </c>
      <c r="B143" s="82" t="s">
        <v>1455</v>
      </c>
      <c r="C143" s="83">
        <v>2020.0</v>
      </c>
      <c r="D143" s="90"/>
      <c r="E143" s="101" t="s">
        <v>1456</v>
      </c>
      <c r="F143" s="60"/>
      <c r="G143" s="60"/>
      <c r="H143" s="60"/>
      <c r="I143" s="60"/>
      <c r="J143" s="60"/>
      <c r="K143" s="58"/>
      <c r="L143" s="58"/>
      <c r="M143" s="58"/>
      <c r="N143" s="58"/>
      <c r="O143" s="58"/>
      <c r="P143" s="58"/>
      <c r="Q143" s="3"/>
      <c r="R143" s="3" t="s">
        <v>185</v>
      </c>
      <c r="S143" s="3" t="s">
        <v>1035</v>
      </c>
      <c r="Y143" s="85">
        <f t="shared" si="1"/>
        <v>1</v>
      </c>
    </row>
    <row r="144">
      <c r="A144" s="3">
        <v>9.0</v>
      </c>
      <c r="B144" s="82" t="s">
        <v>1457</v>
      </c>
      <c r="C144" s="83">
        <v>1987.0</v>
      </c>
      <c r="D144" s="82" t="s">
        <v>1458</v>
      </c>
      <c r="E144" s="95" t="s">
        <v>1459</v>
      </c>
      <c r="J144" s="3" t="s">
        <v>11</v>
      </c>
      <c r="Q144" s="3"/>
      <c r="R144" s="3" t="s">
        <v>185</v>
      </c>
      <c r="Y144" s="85">
        <f t="shared" si="1"/>
        <v>1</v>
      </c>
    </row>
    <row r="145">
      <c r="A145" s="3">
        <v>9.0</v>
      </c>
      <c r="B145" s="82" t="s">
        <v>1460</v>
      </c>
      <c r="C145" s="83">
        <v>1996.0</v>
      </c>
      <c r="D145" s="82" t="s">
        <v>1461</v>
      </c>
      <c r="E145" s="96" t="s">
        <v>1462</v>
      </c>
      <c r="J145" s="3" t="s">
        <v>11</v>
      </c>
      <c r="Q145" s="3"/>
      <c r="R145" s="3" t="s">
        <v>185</v>
      </c>
      <c r="Y145" s="85">
        <f t="shared" si="1"/>
        <v>1</v>
      </c>
    </row>
    <row r="146">
      <c r="A146" s="3">
        <v>9.0</v>
      </c>
      <c r="B146" s="82" t="s">
        <v>1463</v>
      </c>
      <c r="C146" s="82">
        <v>2010.0</v>
      </c>
      <c r="D146" s="82" t="s">
        <v>1464</v>
      </c>
      <c r="E146" s="106" t="s">
        <v>1465</v>
      </c>
      <c r="F146" s="60"/>
      <c r="G146" s="60"/>
      <c r="H146" s="60"/>
      <c r="I146" s="60"/>
      <c r="J146" s="61" t="s">
        <v>11</v>
      </c>
      <c r="K146" s="58"/>
      <c r="L146" s="58"/>
      <c r="M146" s="58"/>
      <c r="N146" s="58"/>
      <c r="O146" s="58"/>
      <c r="Q146" s="3"/>
      <c r="R146" s="3" t="s">
        <v>185</v>
      </c>
      <c r="Y146" s="85">
        <f t="shared" si="1"/>
        <v>1</v>
      </c>
    </row>
    <row r="147">
      <c r="A147" s="3">
        <v>9.0</v>
      </c>
      <c r="B147" s="82" t="s">
        <v>1466</v>
      </c>
      <c r="C147" s="83">
        <v>2003.0</v>
      </c>
      <c r="D147" s="82" t="s">
        <v>1467</v>
      </c>
      <c r="E147" s="96" t="s">
        <v>1468</v>
      </c>
      <c r="J147" s="3" t="s">
        <v>11</v>
      </c>
      <c r="Q147" s="3"/>
      <c r="R147" s="3" t="s">
        <v>185</v>
      </c>
      <c r="Y147" s="85">
        <f t="shared" si="1"/>
        <v>1</v>
      </c>
    </row>
    <row r="148">
      <c r="A148" s="3">
        <v>9.0</v>
      </c>
      <c r="B148" s="82" t="s">
        <v>1469</v>
      </c>
      <c r="C148" s="83">
        <v>2018.0</v>
      </c>
      <c r="D148" s="82" t="s">
        <v>1470</v>
      </c>
      <c r="E148" s="93" t="s">
        <v>1471</v>
      </c>
      <c r="F148" s="61" t="s">
        <v>11</v>
      </c>
      <c r="G148" s="60"/>
      <c r="H148" s="60"/>
      <c r="I148" s="60"/>
      <c r="J148" s="60"/>
      <c r="K148" s="58"/>
      <c r="L148" s="58"/>
      <c r="M148" s="58"/>
      <c r="N148" s="58"/>
      <c r="O148" s="58"/>
      <c r="P148" s="58"/>
      <c r="R148" s="85" t="str">
        <f t="shared" ref="R148:R153" si="7">IF(AND(F148&lt;&gt;"x",G148&lt;&gt;"x",H148&lt;&gt;"x",I148&lt;&gt;"x",J148&lt;&gt;"x",K148&lt;&gt;"x",L148&lt;&gt;"x",M148&lt;&gt;"x",N148&lt;&gt;"x",O148&lt;&gt;"x",P148&lt;&gt;"x", Q148&lt;&gt;"x"),"Yes","No")</f>
        <v>No</v>
      </c>
      <c r="Y148" s="85">
        <f t="shared" si="1"/>
        <v>1</v>
      </c>
    </row>
    <row r="149">
      <c r="A149" s="3">
        <v>9.0</v>
      </c>
      <c r="B149" s="82" t="s">
        <v>1472</v>
      </c>
      <c r="C149" s="83">
        <v>2015.0</v>
      </c>
      <c r="D149" s="82" t="s">
        <v>1473</v>
      </c>
      <c r="E149" s="91" t="s">
        <v>1474</v>
      </c>
      <c r="F149" s="61" t="s">
        <v>11</v>
      </c>
      <c r="G149" s="60"/>
      <c r="H149" s="60"/>
      <c r="I149" s="60"/>
      <c r="J149" s="60"/>
      <c r="K149" s="58"/>
      <c r="L149" s="58"/>
      <c r="M149" s="58"/>
      <c r="N149" s="58"/>
      <c r="O149" s="58"/>
      <c r="P149" s="58"/>
      <c r="R149" s="85" t="str">
        <f t="shared" si="7"/>
        <v>No</v>
      </c>
      <c r="Y149" s="85">
        <f t="shared" si="1"/>
        <v>1</v>
      </c>
    </row>
    <row r="150">
      <c r="A150" s="3">
        <v>9.0</v>
      </c>
      <c r="B150" s="82" t="s">
        <v>1475</v>
      </c>
      <c r="C150" s="83">
        <v>2017.0</v>
      </c>
      <c r="D150" s="82" t="s">
        <v>1476</v>
      </c>
      <c r="E150" s="91" t="s">
        <v>1477</v>
      </c>
      <c r="F150" s="61" t="s">
        <v>11</v>
      </c>
      <c r="G150" s="60"/>
      <c r="H150" s="60"/>
      <c r="I150" s="60"/>
      <c r="J150" s="60"/>
      <c r="K150" s="58"/>
      <c r="L150" s="58"/>
      <c r="M150" s="58"/>
      <c r="N150" s="58"/>
      <c r="O150" s="58"/>
      <c r="P150" s="58"/>
      <c r="R150" s="85" t="str">
        <f t="shared" si="7"/>
        <v>No</v>
      </c>
      <c r="Y150" s="85">
        <f t="shared" si="1"/>
        <v>1</v>
      </c>
    </row>
    <row r="151">
      <c r="A151" s="3">
        <v>9.0</v>
      </c>
      <c r="B151" s="82" t="s">
        <v>1478</v>
      </c>
      <c r="C151" s="83">
        <v>2019.0</v>
      </c>
      <c r="D151" s="82" t="s">
        <v>1479</v>
      </c>
      <c r="E151" s="88" t="s">
        <v>1480</v>
      </c>
      <c r="F151" s="61" t="s">
        <v>324</v>
      </c>
      <c r="G151" s="60"/>
      <c r="H151" s="61" t="s">
        <v>11</v>
      </c>
      <c r="I151" s="60"/>
      <c r="J151" s="60"/>
      <c r="K151" s="58"/>
      <c r="L151" s="58"/>
      <c r="M151" s="58"/>
      <c r="N151" s="58"/>
      <c r="O151" s="58"/>
      <c r="P151" s="58"/>
      <c r="R151" s="85" t="str">
        <f t="shared" si="7"/>
        <v>No</v>
      </c>
      <c r="Y151" s="85">
        <f t="shared" si="1"/>
        <v>1</v>
      </c>
    </row>
    <row r="152">
      <c r="A152" s="3">
        <v>9.0</v>
      </c>
      <c r="B152" s="82" t="s">
        <v>1481</v>
      </c>
      <c r="C152" s="83">
        <v>2016.0</v>
      </c>
      <c r="D152" s="82" t="s">
        <v>1482</v>
      </c>
      <c r="E152" s="88" t="s">
        <v>1483</v>
      </c>
      <c r="F152" s="61" t="s">
        <v>11</v>
      </c>
      <c r="G152" s="60"/>
      <c r="H152" s="60"/>
      <c r="I152" s="60"/>
      <c r="J152" s="60"/>
      <c r="K152" s="58"/>
      <c r="L152" s="58"/>
      <c r="M152" s="58"/>
      <c r="N152" s="58"/>
      <c r="O152" s="58"/>
      <c r="P152" s="58"/>
      <c r="R152" s="85" t="str">
        <f t="shared" si="7"/>
        <v>No</v>
      </c>
      <c r="Y152" s="85">
        <f t="shared" si="1"/>
        <v>1</v>
      </c>
    </row>
    <row r="153">
      <c r="A153" s="3">
        <v>9.0</v>
      </c>
      <c r="B153" s="82" t="s">
        <v>1484</v>
      </c>
      <c r="C153" s="83">
        <v>2014.0</v>
      </c>
      <c r="D153" s="82" t="s">
        <v>1485</v>
      </c>
      <c r="E153" s="91" t="s">
        <v>1486</v>
      </c>
      <c r="F153" s="61" t="s">
        <v>11</v>
      </c>
      <c r="G153" s="60"/>
      <c r="H153" s="60"/>
      <c r="I153" s="60"/>
      <c r="J153" s="60"/>
      <c r="K153" s="58"/>
      <c r="L153" s="58"/>
      <c r="M153" s="58"/>
      <c r="N153" s="58"/>
      <c r="O153" s="58"/>
      <c r="P153" s="58"/>
      <c r="R153" s="85" t="str">
        <f t="shared" si="7"/>
        <v>No</v>
      </c>
      <c r="Y153" s="85">
        <f t="shared" si="1"/>
        <v>1</v>
      </c>
    </row>
    <row r="154">
      <c r="A154" s="3" t="s">
        <v>1487</v>
      </c>
      <c r="B154" s="82" t="s">
        <v>1488</v>
      </c>
      <c r="C154" s="83">
        <v>2009.0</v>
      </c>
      <c r="D154" s="82" t="s">
        <v>1489</v>
      </c>
      <c r="E154" s="86" t="s">
        <v>1490</v>
      </c>
      <c r="J154" s="3" t="s">
        <v>11</v>
      </c>
      <c r="Q154" s="3"/>
      <c r="R154" s="3" t="s">
        <v>185</v>
      </c>
      <c r="Y154" s="85">
        <f t="shared" si="1"/>
        <v>1</v>
      </c>
    </row>
    <row r="155">
      <c r="A155" s="3">
        <v>9.0</v>
      </c>
      <c r="B155" s="82" t="s">
        <v>1491</v>
      </c>
      <c r="C155" s="83">
        <v>2000.0</v>
      </c>
      <c r="D155" s="82" t="s">
        <v>1492</v>
      </c>
      <c r="E155" s="91" t="s">
        <v>1493</v>
      </c>
      <c r="J155" s="3" t="s">
        <v>11</v>
      </c>
      <c r="Q155" s="3"/>
      <c r="R155" s="3" t="s">
        <v>185</v>
      </c>
      <c r="Y155" s="85">
        <f t="shared" si="1"/>
        <v>1</v>
      </c>
    </row>
    <row r="156">
      <c r="A156" s="3">
        <v>9.0</v>
      </c>
      <c r="B156" s="82" t="s">
        <v>1494</v>
      </c>
      <c r="C156" s="83">
        <v>2019.0</v>
      </c>
      <c r="D156" s="82" t="s">
        <v>1495</v>
      </c>
      <c r="E156" s="88" t="s">
        <v>84</v>
      </c>
      <c r="F156" s="60"/>
      <c r="G156" s="60"/>
      <c r="H156" s="60"/>
      <c r="I156" s="60"/>
      <c r="J156" s="60"/>
      <c r="K156" s="58"/>
      <c r="L156" s="58"/>
      <c r="M156" s="58"/>
      <c r="N156" s="58"/>
      <c r="O156" s="58"/>
      <c r="P156" s="59" t="s">
        <v>11</v>
      </c>
      <c r="R156" s="3" t="s">
        <v>210</v>
      </c>
      <c r="S156" s="3" t="s">
        <v>1496</v>
      </c>
      <c r="Y156" s="85">
        <f t="shared" si="1"/>
        <v>1</v>
      </c>
    </row>
    <row r="157">
      <c r="A157" s="3">
        <v>9.0</v>
      </c>
      <c r="B157" s="82" t="s">
        <v>1497</v>
      </c>
      <c r="C157" s="83">
        <v>2016.0</v>
      </c>
      <c r="D157" s="82" t="s">
        <v>1498</v>
      </c>
      <c r="E157" s="88" t="s">
        <v>1499</v>
      </c>
      <c r="F157" s="60"/>
      <c r="G157" s="60"/>
      <c r="H157" s="60"/>
      <c r="I157" s="60"/>
      <c r="J157" s="60"/>
      <c r="K157" s="58"/>
      <c r="L157" s="58"/>
      <c r="M157" s="59" t="s">
        <v>11</v>
      </c>
      <c r="N157" s="58"/>
      <c r="O157" s="58"/>
      <c r="P157" s="58"/>
      <c r="R157" s="3" t="s">
        <v>185</v>
      </c>
      <c r="S157" s="3" t="s">
        <v>1500</v>
      </c>
      <c r="Y157" s="85">
        <f t="shared" si="1"/>
        <v>1</v>
      </c>
    </row>
    <row r="158">
      <c r="A158" s="3">
        <v>9.0</v>
      </c>
      <c r="B158" s="82" t="s">
        <v>1501</v>
      </c>
      <c r="C158" s="83">
        <v>2018.0</v>
      </c>
      <c r="D158" s="82" t="s">
        <v>1502</v>
      </c>
      <c r="E158" s="91" t="s">
        <v>1503</v>
      </c>
      <c r="F158" s="61" t="s">
        <v>11</v>
      </c>
      <c r="G158" s="60"/>
      <c r="H158" s="60"/>
      <c r="I158" s="60"/>
      <c r="J158" s="60"/>
      <c r="K158" s="58"/>
      <c r="L158" s="58"/>
      <c r="M158" s="58"/>
      <c r="N158" s="58"/>
      <c r="O158" s="58"/>
      <c r="P158" s="58"/>
      <c r="R158" s="85" t="str">
        <f>IF(AND(F158&lt;&gt;"x",G158&lt;&gt;"x",H158&lt;&gt;"x",I158&lt;&gt;"x",J158&lt;&gt;"x",K158&lt;&gt;"x",L158&lt;&gt;"x",M158&lt;&gt;"x",N158&lt;&gt;"x",O158&lt;&gt;"x",P158&lt;&gt;"x", Q158&lt;&gt;"x"),"Yes","No")</f>
        <v>No</v>
      </c>
      <c r="Y158" s="85">
        <f t="shared" si="1"/>
        <v>1</v>
      </c>
    </row>
    <row r="159">
      <c r="A159" s="3">
        <v>9.0</v>
      </c>
      <c r="B159" s="82" t="s">
        <v>1504</v>
      </c>
      <c r="C159" s="83">
        <v>2002.0</v>
      </c>
      <c r="D159" s="82" t="s">
        <v>1505</v>
      </c>
      <c r="E159" s="93" t="s">
        <v>1506</v>
      </c>
      <c r="J159" s="3" t="s">
        <v>11</v>
      </c>
      <c r="Q159" s="3"/>
      <c r="R159" s="3" t="s">
        <v>185</v>
      </c>
      <c r="Y159" s="85">
        <f t="shared" si="1"/>
        <v>1</v>
      </c>
    </row>
    <row r="160">
      <c r="A160" s="3">
        <v>9.0</v>
      </c>
      <c r="B160" s="82" t="s">
        <v>151</v>
      </c>
      <c r="C160" s="83">
        <v>2019.0</v>
      </c>
      <c r="D160" s="82" t="s">
        <v>152</v>
      </c>
      <c r="E160" s="91" t="s">
        <v>153</v>
      </c>
      <c r="F160" s="60"/>
      <c r="G160" s="60"/>
      <c r="H160" s="60"/>
      <c r="I160" s="60"/>
      <c r="J160" s="60"/>
      <c r="K160" s="58"/>
      <c r="L160" s="58"/>
      <c r="M160" s="58"/>
      <c r="N160" s="58"/>
      <c r="O160" s="58"/>
      <c r="P160" s="58"/>
      <c r="R160" s="85" t="str">
        <f>IF(AND(F160&lt;&gt;"x",G160&lt;&gt;"x",H160&lt;&gt;"x",I160&lt;&gt;"x",J160&lt;&gt;"x",K160&lt;&gt;"x",L160&lt;&gt;"x",M160&lt;&gt;"x",N160&lt;&gt;"x",O160&lt;&gt;"x",P160&lt;&gt;"x", Q160&lt;&gt;"x"),"Yes","No")</f>
        <v>Yes</v>
      </c>
      <c r="S160" s="3" t="s">
        <v>154</v>
      </c>
      <c r="Y160" s="85">
        <f t="shared" si="1"/>
        <v>1</v>
      </c>
    </row>
    <row r="161">
      <c r="A161" s="3">
        <v>9.0</v>
      </c>
      <c r="B161" s="82" t="s">
        <v>1507</v>
      </c>
      <c r="C161" s="83">
        <v>2010.0</v>
      </c>
      <c r="D161" s="82" t="s">
        <v>1508</v>
      </c>
      <c r="E161" s="84" t="s">
        <v>1509</v>
      </c>
      <c r="J161" s="3" t="s">
        <v>11</v>
      </c>
      <c r="Q161" s="3"/>
      <c r="R161" s="3" t="s">
        <v>185</v>
      </c>
      <c r="Y161" s="85">
        <f t="shared" si="1"/>
        <v>1</v>
      </c>
    </row>
    <row r="162">
      <c r="A162" s="3">
        <v>9.0</v>
      </c>
      <c r="B162" s="82" t="s">
        <v>1510</v>
      </c>
      <c r="C162" s="83">
        <v>2013.0</v>
      </c>
      <c r="D162" s="82" t="s">
        <v>1511</v>
      </c>
      <c r="E162" s="88" t="s">
        <v>1512</v>
      </c>
      <c r="F162" s="61" t="s">
        <v>11</v>
      </c>
      <c r="G162" s="60"/>
      <c r="H162" s="60"/>
      <c r="I162" s="60"/>
      <c r="J162" s="60"/>
      <c r="K162" s="58"/>
      <c r="L162" s="58"/>
      <c r="M162" s="58"/>
      <c r="N162" s="58"/>
      <c r="O162" s="58"/>
      <c r="P162" s="58"/>
      <c r="R162" s="85" t="str">
        <f t="shared" ref="R162:R173" si="8">IF(AND(F162&lt;&gt;"x",G162&lt;&gt;"x",H162&lt;&gt;"x",I162&lt;&gt;"x",J162&lt;&gt;"x",K162&lt;&gt;"x",L162&lt;&gt;"x",M162&lt;&gt;"x",N162&lt;&gt;"x",O162&lt;&gt;"x",P162&lt;&gt;"x", Q162&lt;&gt;"x"),"Yes","No")</f>
        <v>No</v>
      </c>
      <c r="Y162" s="85">
        <f t="shared" si="1"/>
        <v>1</v>
      </c>
    </row>
    <row r="163">
      <c r="A163" s="3">
        <v>9.0</v>
      </c>
      <c r="B163" s="82" t="s">
        <v>1513</v>
      </c>
      <c r="C163" s="83">
        <v>2014.0</v>
      </c>
      <c r="D163" s="82" t="s">
        <v>1514</v>
      </c>
      <c r="E163" s="91" t="s">
        <v>1515</v>
      </c>
      <c r="F163" s="60"/>
      <c r="G163" s="61" t="s">
        <v>11</v>
      </c>
      <c r="H163" s="60"/>
      <c r="I163" s="60"/>
      <c r="J163" s="60"/>
      <c r="K163" s="58"/>
      <c r="L163" s="58"/>
      <c r="M163" s="58"/>
      <c r="N163" s="58"/>
      <c r="O163" s="58"/>
      <c r="P163" s="58"/>
      <c r="R163" s="85" t="str">
        <f t="shared" si="8"/>
        <v>No</v>
      </c>
      <c r="Y163" s="85">
        <f t="shared" si="1"/>
        <v>1</v>
      </c>
    </row>
    <row r="164">
      <c r="A164" s="3">
        <v>9.0</v>
      </c>
      <c r="B164" s="82" t="s">
        <v>1516</v>
      </c>
      <c r="C164" s="83">
        <v>2013.0</v>
      </c>
      <c r="D164" s="82" t="s">
        <v>1517</v>
      </c>
      <c r="E164" s="86" t="s">
        <v>1518</v>
      </c>
      <c r="F164" s="60"/>
      <c r="G164" s="60"/>
      <c r="H164" s="61" t="s">
        <v>11</v>
      </c>
      <c r="I164" s="60"/>
      <c r="J164" s="60"/>
      <c r="K164" s="58"/>
      <c r="L164" s="58"/>
      <c r="M164" s="58"/>
      <c r="N164" s="58"/>
      <c r="O164" s="58"/>
      <c r="P164" s="58"/>
      <c r="R164" s="85" t="str">
        <f t="shared" si="8"/>
        <v>No</v>
      </c>
      <c r="Y164" s="85">
        <f t="shared" si="1"/>
        <v>1</v>
      </c>
    </row>
    <row r="165">
      <c r="A165" s="3">
        <v>9.0</v>
      </c>
      <c r="B165" s="82" t="s">
        <v>1519</v>
      </c>
      <c r="C165" s="83">
        <v>2018.0</v>
      </c>
      <c r="D165" s="82" t="s">
        <v>1520</v>
      </c>
      <c r="E165" s="88" t="s">
        <v>1521</v>
      </c>
      <c r="F165" s="61" t="s">
        <v>324</v>
      </c>
      <c r="G165" s="61" t="s">
        <v>11</v>
      </c>
      <c r="H165" s="61" t="s">
        <v>11</v>
      </c>
      <c r="I165" s="60"/>
      <c r="J165" s="60"/>
      <c r="K165" s="58"/>
      <c r="L165" s="58"/>
      <c r="M165" s="58"/>
      <c r="N165" s="58"/>
      <c r="O165" s="58"/>
      <c r="P165" s="58"/>
      <c r="R165" s="85" t="str">
        <f t="shared" si="8"/>
        <v>No</v>
      </c>
      <c r="Y165" s="85">
        <f t="shared" si="1"/>
        <v>1</v>
      </c>
    </row>
    <row r="166">
      <c r="A166" s="3">
        <v>9.0</v>
      </c>
      <c r="B166" s="82" t="s">
        <v>1522</v>
      </c>
      <c r="C166" s="83">
        <v>2018.0</v>
      </c>
      <c r="D166" s="82" t="s">
        <v>1523</v>
      </c>
      <c r="E166" s="88" t="s">
        <v>1524</v>
      </c>
      <c r="F166" s="60"/>
      <c r="G166" s="61" t="s">
        <v>11</v>
      </c>
      <c r="H166" s="61" t="s">
        <v>11</v>
      </c>
      <c r="I166" s="60"/>
      <c r="J166" s="60"/>
      <c r="K166" s="58"/>
      <c r="L166" s="58"/>
      <c r="M166" s="58"/>
      <c r="N166" s="58"/>
      <c r="O166" s="58"/>
      <c r="P166" s="58"/>
      <c r="R166" s="85" t="str">
        <f t="shared" si="8"/>
        <v>No</v>
      </c>
      <c r="Y166" s="85">
        <f t="shared" si="1"/>
        <v>1</v>
      </c>
    </row>
    <row r="167">
      <c r="A167" s="3">
        <v>9.0</v>
      </c>
      <c r="B167" s="82" t="s">
        <v>1525</v>
      </c>
      <c r="C167" s="83">
        <v>2015.0</v>
      </c>
      <c r="D167" s="82" t="s">
        <v>1526</v>
      </c>
      <c r="E167" s="86" t="s">
        <v>1527</v>
      </c>
      <c r="F167" s="61" t="s">
        <v>11</v>
      </c>
      <c r="G167" s="60"/>
      <c r="H167" s="60"/>
      <c r="I167" s="60"/>
      <c r="J167" s="60"/>
      <c r="K167" s="58"/>
      <c r="L167" s="58"/>
      <c r="M167" s="58"/>
      <c r="N167" s="58"/>
      <c r="O167" s="58"/>
      <c r="P167" s="58"/>
      <c r="R167" s="85" t="str">
        <f t="shared" si="8"/>
        <v>No</v>
      </c>
      <c r="Y167" s="85">
        <f t="shared" si="1"/>
        <v>1</v>
      </c>
    </row>
    <row r="168">
      <c r="A168" s="3">
        <v>9.0</v>
      </c>
      <c r="B168" s="82" t="s">
        <v>1528</v>
      </c>
      <c r="C168" s="83">
        <v>2016.0</v>
      </c>
      <c r="D168" s="82" t="s">
        <v>1529</v>
      </c>
      <c r="E168" s="91" t="s">
        <v>1530</v>
      </c>
      <c r="F168" s="60"/>
      <c r="G168" s="60"/>
      <c r="H168" s="60"/>
      <c r="I168" s="60"/>
      <c r="J168" s="60"/>
      <c r="K168" s="58"/>
      <c r="L168" s="58"/>
      <c r="M168" s="58"/>
      <c r="N168" s="59" t="s">
        <v>11</v>
      </c>
      <c r="O168" s="58"/>
      <c r="P168" s="58"/>
      <c r="R168" s="85" t="str">
        <f t="shared" si="8"/>
        <v>No</v>
      </c>
      <c r="Y168" s="85">
        <f t="shared" si="1"/>
        <v>1</v>
      </c>
    </row>
    <row r="169">
      <c r="A169" s="3">
        <v>9.0</v>
      </c>
      <c r="B169" s="82" t="s">
        <v>155</v>
      </c>
      <c r="C169" s="83">
        <v>2012.0</v>
      </c>
      <c r="D169" s="82" t="s">
        <v>156</v>
      </c>
      <c r="E169" s="86" t="s">
        <v>157</v>
      </c>
      <c r="F169" s="60"/>
      <c r="G169" s="60"/>
      <c r="H169" s="60"/>
      <c r="I169" s="60"/>
      <c r="J169" s="60"/>
      <c r="K169" s="58"/>
      <c r="L169" s="58"/>
      <c r="M169" s="58"/>
      <c r="N169" s="58"/>
      <c r="O169" s="58"/>
      <c r="P169" s="58"/>
      <c r="R169" s="85" t="str">
        <f t="shared" si="8"/>
        <v>Yes</v>
      </c>
      <c r="S169" s="3" t="s">
        <v>158</v>
      </c>
      <c r="Y169" s="85">
        <f t="shared" si="1"/>
        <v>1</v>
      </c>
    </row>
    <row r="170">
      <c r="A170" s="3">
        <v>9.0</v>
      </c>
      <c r="B170" s="82" t="s">
        <v>1531</v>
      </c>
      <c r="C170" s="83">
        <v>2019.0</v>
      </c>
      <c r="D170" s="82" t="s">
        <v>1532</v>
      </c>
      <c r="E170" s="86" t="s">
        <v>1533</v>
      </c>
      <c r="F170" s="61" t="s">
        <v>11</v>
      </c>
      <c r="G170" s="60"/>
      <c r="H170" s="60"/>
      <c r="I170" s="60"/>
      <c r="J170" s="60"/>
      <c r="K170" s="58"/>
      <c r="L170" s="58"/>
      <c r="M170" s="58"/>
      <c r="N170" s="58"/>
      <c r="O170" s="58"/>
      <c r="P170" s="58"/>
      <c r="R170" s="85" t="str">
        <f t="shared" si="8"/>
        <v>No</v>
      </c>
      <c r="Y170" s="85">
        <f t="shared" si="1"/>
        <v>1</v>
      </c>
    </row>
    <row r="171">
      <c r="A171" s="3">
        <v>9.0</v>
      </c>
      <c r="B171" s="82" t="s">
        <v>1534</v>
      </c>
      <c r="C171" s="83">
        <v>2018.0</v>
      </c>
      <c r="D171" s="82" t="s">
        <v>1535</v>
      </c>
      <c r="E171" s="84" t="s">
        <v>1536</v>
      </c>
      <c r="F171" s="60"/>
      <c r="G171" s="61" t="s">
        <v>11</v>
      </c>
      <c r="H171" s="60"/>
      <c r="I171" s="60"/>
      <c r="J171" s="60"/>
      <c r="K171" s="58"/>
      <c r="L171" s="58"/>
      <c r="M171" s="58"/>
      <c r="N171" s="58"/>
      <c r="O171" s="58"/>
      <c r="P171" s="58"/>
      <c r="R171" s="85" t="str">
        <f t="shared" si="8"/>
        <v>No</v>
      </c>
      <c r="Y171" s="85">
        <f t="shared" si="1"/>
        <v>1</v>
      </c>
    </row>
    <row r="172">
      <c r="A172" s="3">
        <v>9.0</v>
      </c>
      <c r="B172" s="82" t="s">
        <v>1537</v>
      </c>
      <c r="C172" s="83">
        <v>2016.0</v>
      </c>
      <c r="D172" s="82" t="s">
        <v>1538</v>
      </c>
      <c r="E172" s="91" t="s">
        <v>1539</v>
      </c>
      <c r="F172" s="60"/>
      <c r="G172" s="61" t="s">
        <v>11</v>
      </c>
      <c r="H172" s="60"/>
      <c r="I172" s="60"/>
      <c r="J172" s="60"/>
      <c r="K172" s="58"/>
      <c r="L172" s="58"/>
      <c r="M172" s="58"/>
      <c r="N172" s="58"/>
      <c r="O172" s="58"/>
      <c r="P172" s="58"/>
      <c r="R172" s="85" t="str">
        <f t="shared" si="8"/>
        <v>No</v>
      </c>
      <c r="Y172" s="85">
        <f t="shared" si="1"/>
        <v>1</v>
      </c>
    </row>
    <row r="173">
      <c r="A173" s="3">
        <v>9.0</v>
      </c>
      <c r="B173" s="82" t="s">
        <v>1540</v>
      </c>
      <c r="C173" s="83">
        <v>2019.0</v>
      </c>
      <c r="D173" s="82" t="s">
        <v>1541</v>
      </c>
      <c r="E173" s="91" t="s">
        <v>1542</v>
      </c>
      <c r="F173" s="60"/>
      <c r="G173" s="60"/>
      <c r="H173" s="61" t="s">
        <v>11</v>
      </c>
      <c r="I173" s="60"/>
      <c r="J173" s="60"/>
      <c r="K173" s="58"/>
      <c r="L173" s="58"/>
      <c r="M173" s="58"/>
      <c r="N173" s="58"/>
      <c r="O173" s="58"/>
      <c r="P173" s="58"/>
      <c r="R173" s="85" t="str">
        <f t="shared" si="8"/>
        <v>No</v>
      </c>
      <c r="Y173" s="85">
        <f t="shared" si="1"/>
        <v>1</v>
      </c>
    </row>
    <row r="174">
      <c r="A174" s="3" t="s">
        <v>1487</v>
      </c>
      <c r="B174" s="82" t="s">
        <v>1543</v>
      </c>
      <c r="C174" s="83">
        <v>2008.0</v>
      </c>
      <c r="D174" s="82" t="s">
        <v>1544</v>
      </c>
      <c r="E174" s="91" t="s">
        <v>1545</v>
      </c>
      <c r="J174" s="3" t="s">
        <v>11</v>
      </c>
      <c r="Q174" s="3"/>
      <c r="R174" s="3" t="s">
        <v>185</v>
      </c>
      <c r="Y174" s="85">
        <f t="shared" si="1"/>
        <v>1</v>
      </c>
    </row>
    <row r="175">
      <c r="A175" s="3" t="s">
        <v>1487</v>
      </c>
      <c r="B175" s="82" t="s">
        <v>1546</v>
      </c>
      <c r="C175" s="82">
        <v>2010.0</v>
      </c>
      <c r="D175" s="82" t="s">
        <v>1547</v>
      </c>
      <c r="E175" s="86" t="s">
        <v>1548</v>
      </c>
      <c r="J175" s="3" t="s">
        <v>11</v>
      </c>
      <c r="Q175" s="3"/>
      <c r="R175" s="3" t="s">
        <v>185</v>
      </c>
      <c r="Y175" s="85">
        <f t="shared" si="1"/>
        <v>1</v>
      </c>
    </row>
    <row r="176">
      <c r="A176" s="3">
        <v>9.0</v>
      </c>
      <c r="B176" s="82" t="s">
        <v>1549</v>
      </c>
      <c r="C176" s="83">
        <v>2015.0</v>
      </c>
      <c r="D176" s="82" t="s">
        <v>1550</v>
      </c>
      <c r="E176" s="86" t="s">
        <v>1551</v>
      </c>
      <c r="F176" s="60"/>
      <c r="G176" s="61" t="s">
        <v>11</v>
      </c>
      <c r="H176" s="60"/>
      <c r="I176" s="60"/>
      <c r="J176" s="60"/>
      <c r="K176" s="58"/>
      <c r="L176" s="58"/>
      <c r="M176" s="58"/>
      <c r="N176" s="58"/>
      <c r="O176" s="58"/>
      <c r="P176" s="58"/>
      <c r="R176" s="85" t="str">
        <f t="shared" ref="R176:R177" si="9">IF(AND(F176&lt;&gt;"x",G176&lt;&gt;"x",H176&lt;&gt;"x",I176&lt;&gt;"x",J176&lt;&gt;"x",K176&lt;&gt;"x",L176&lt;&gt;"x",M176&lt;&gt;"x",N176&lt;&gt;"x",O176&lt;&gt;"x",P176&lt;&gt;"x", Q176&lt;&gt;"x"),"Yes","No")</f>
        <v>No</v>
      </c>
      <c r="Y176" s="85">
        <f t="shared" si="1"/>
        <v>1</v>
      </c>
    </row>
    <row r="177">
      <c r="A177" s="3">
        <v>11.0</v>
      </c>
      <c r="B177" s="82" t="s">
        <v>1552</v>
      </c>
      <c r="C177" s="83">
        <v>2013.0</v>
      </c>
      <c r="D177" s="82" t="s">
        <v>1553</v>
      </c>
      <c r="E177" s="91" t="s">
        <v>1554</v>
      </c>
      <c r="F177" s="61" t="s">
        <v>11</v>
      </c>
      <c r="G177" s="60"/>
      <c r="H177" s="60"/>
      <c r="I177" s="60"/>
      <c r="J177" s="60"/>
      <c r="K177" s="58"/>
      <c r="L177" s="58"/>
      <c r="M177" s="58"/>
      <c r="N177" s="58"/>
      <c r="O177" s="58"/>
      <c r="P177" s="58"/>
      <c r="R177" s="85" t="str">
        <f t="shared" si="9"/>
        <v>No</v>
      </c>
      <c r="Y177" s="85">
        <f t="shared" si="1"/>
        <v>1</v>
      </c>
    </row>
    <row r="178">
      <c r="A178" s="3">
        <v>11.0</v>
      </c>
      <c r="B178" s="82" t="s">
        <v>1555</v>
      </c>
      <c r="C178" s="83">
        <v>2008.0</v>
      </c>
      <c r="D178" s="82" t="s">
        <v>1556</v>
      </c>
      <c r="E178" s="84" t="s">
        <v>1557</v>
      </c>
      <c r="J178" s="3" t="s">
        <v>11</v>
      </c>
      <c r="Q178" s="3"/>
      <c r="R178" s="3" t="s">
        <v>185</v>
      </c>
      <c r="Y178" s="85">
        <f t="shared" si="1"/>
        <v>1</v>
      </c>
    </row>
    <row r="179">
      <c r="A179" s="3">
        <v>11.0</v>
      </c>
      <c r="B179" s="82" t="s">
        <v>1558</v>
      </c>
      <c r="C179" s="83">
        <v>2011.0</v>
      </c>
      <c r="D179" s="82" t="s">
        <v>1559</v>
      </c>
      <c r="E179" s="88" t="s">
        <v>1560</v>
      </c>
      <c r="F179" s="60"/>
      <c r="G179" s="61" t="s">
        <v>11</v>
      </c>
      <c r="H179" s="60"/>
      <c r="I179" s="60"/>
      <c r="J179" s="60"/>
      <c r="K179" s="58"/>
      <c r="L179" s="58"/>
      <c r="M179" s="58"/>
      <c r="N179" s="58"/>
      <c r="O179" s="58"/>
      <c r="P179" s="58"/>
      <c r="R179" s="85" t="str">
        <f>IF(AND(F179&lt;&gt;"x",G179&lt;&gt;"x",H179&lt;&gt;"x",I179&lt;&gt;"x",J179&lt;&gt;"x",K179&lt;&gt;"x",L179&lt;&gt;"x",M179&lt;&gt;"x",N179&lt;&gt;"x",O179&lt;&gt;"x",P179&lt;&gt;"x", Q179&lt;&gt;"x"),"Yes","No")</f>
        <v>No</v>
      </c>
      <c r="Y179" s="85">
        <f t="shared" si="1"/>
        <v>1</v>
      </c>
    </row>
    <row r="180">
      <c r="A180" s="3">
        <v>11.0</v>
      </c>
      <c r="B180" s="82" t="s">
        <v>1561</v>
      </c>
      <c r="C180" s="83">
        <v>2005.0</v>
      </c>
      <c r="D180" s="82" t="s">
        <v>1562</v>
      </c>
      <c r="E180" s="96" t="s">
        <v>1563</v>
      </c>
      <c r="J180" s="3" t="s">
        <v>11</v>
      </c>
      <c r="Q180" s="3"/>
      <c r="R180" s="3" t="s">
        <v>185</v>
      </c>
      <c r="Y180" s="85">
        <f t="shared" si="1"/>
        <v>1</v>
      </c>
    </row>
    <row r="181">
      <c r="A181" s="3">
        <v>11.0</v>
      </c>
      <c r="B181" s="82" t="s">
        <v>1564</v>
      </c>
      <c r="C181" s="83">
        <v>2014.0</v>
      </c>
      <c r="D181" s="82" t="s">
        <v>1565</v>
      </c>
      <c r="E181" s="96" t="s">
        <v>1566</v>
      </c>
      <c r="F181" s="61" t="s">
        <v>11</v>
      </c>
      <c r="G181" s="60"/>
      <c r="H181" s="60"/>
      <c r="I181" s="60"/>
      <c r="J181" s="60"/>
      <c r="K181" s="58"/>
      <c r="L181" s="58"/>
      <c r="M181" s="58"/>
      <c r="N181" s="58"/>
      <c r="O181" s="58"/>
      <c r="P181" s="58"/>
      <c r="R181" s="85" t="str">
        <f>IF(AND(F181&lt;&gt;"x",G181&lt;&gt;"x",H181&lt;&gt;"x",I181&lt;&gt;"x",J181&lt;&gt;"x",K181&lt;&gt;"x",L181&lt;&gt;"x",M181&lt;&gt;"x",N181&lt;&gt;"x",O181&lt;&gt;"x",P181&lt;&gt;"x", Q181&lt;&gt;"x"),"Yes","No")</f>
        <v>No</v>
      </c>
      <c r="Y181" s="85">
        <f t="shared" si="1"/>
        <v>1</v>
      </c>
    </row>
    <row r="182">
      <c r="A182" s="3">
        <v>11.0</v>
      </c>
      <c r="B182" s="82" t="s">
        <v>1567</v>
      </c>
      <c r="C182" s="83">
        <v>2008.0</v>
      </c>
      <c r="D182" s="82" t="s">
        <v>1568</v>
      </c>
      <c r="E182" s="86" t="s">
        <v>1569</v>
      </c>
      <c r="J182" s="3" t="s">
        <v>11</v>
      </c>
      <c r="Q182" s="3"/>
      <c r="R182" s="3" t="s">
        <v>185</v>
      </c>
      <c r="Y182" s="85">
        <f t="shared" si="1"/>
        <v>1</v>
      </c>
    </row>
    <row r="183">
      <c r="A183" s="3">
        <v>11.0</v>
      </c>
      <c r="B183" s="82" t="s">
        <v>1570</v>
      </c>
      <c r="C183" s="83">
        <v>2005.0</v>
      </c>
      <c r="D183" s="82" t="s">
        <v>1571</v>
      </c>
      <c r="E183" s="84" t="s">
        <v>1572</v>
      </c>
      <c r="J183" s="3" t="s">
        <v>11</v>
      </c>
      <c r="Q183" s="3"/>
      <c r="R183" s="3" t="s">
        <v>185</v>
      </c>
      <c r="Y183" s="85">
        <f t="shared" si="1"/>
        <v>1</v>
      </c>
    </row>
    <row r="184">
      <c r="A184" s="3">
        <v>11.0</v>
      </c>
      <c r="B184" s="82" t="s">
        <v>1573</v>
      </c>
      <c r="C184" s="83">
        <v>2005.0</v>
      </c>
      <c r="D184" s="82" t="s">
        <v>1344</v>
      </c>
      <c r="E184" s="93" t="s">
        <v>1574</v>
      </c>
      <c r="J184" s="3" t="s">
        <v>11</v>
      </c>
      <c r="Q184" s="3"/>
      <c r="R184" s="3" t="s">
        <v>185</v>
      </c>
      <c r="Y184" s="85">
        <f t="shared" si="1"/>
        <v>1</v>
      </c>
    </row>
    <row r="185">
      <c r="A185" s="3">
        <v>11.0</v>
      </c>
      <c r="B185" s="82" t="s">
        <v>1361</v>
      </c>
      <c r="C185" s="83">
        <v>2009.0</v>
      </c>
      <c r="D185" s="82" t="s">
        <v>1362</v>
      </c>
      <c r="E185" s="100" t="s">
        <v>1575</v>
      </c>
      <c r="J185" s="3" t="s">
        <v>11</v>
      </c>
      <c r="Q185" s="3"/>
      <c r="R185" s="3" t="s">
        <v>185</v>
      </c>
      <c r="Y185" s="85">
        <f t="shared" si="1"/>
        <v>1</v>
      </c>
    </row>
    <row r="186">
      <c r="A186" s="3">
        <v>11.0</v>
      </c>
      <c r="B186" s="82" t="s">
        <v>1576</v>
      </c>
      <c r="C186" s="83">
        <v>2013.0</v>
      </c>
      <c r="D186" s="82" t="s">
        <v>1577</v>
      </c>
      <c r="E186" s="88" t="s">
        <v>1578</v>
      </c>
      <c r="F186" s="60"/>
      <c r="G186" s="60"/>
      <c r="H186" s="60"/>
      <c r="I186" s="60"/>
      <c r="J186" s="60"/>
      <c r="K186" s="59" t="s">
        <v>11</v>
      </c>
      <c r="L186" s="58"/>
      <c r="M186" s="58"/>
      <c r="N186" s="58"/>
      <c r="O186" s="58"/>
      <c r="P186" s="58"/>
      <c r="R186" s="85" t="str">
        <f>IF(AND(F186&lt;&gt;"x",G186&lt;&gt;"x",H186&lt;&gt;"x",I186&lt;&gt;"x",J186&lt;&gt;"x",K186&lt;&gt;"x",L186&lt;&gt;"x",M186&lt;&gt;"x",N186&lt;&gt;"x",O186&lt;&gt;"x",P186&lt;&gt;"x", Q186&lt;&gt;"x"),"Yes","No")</f>
        <v>No</v>
      </c>
      <c r="Y186" s="85">
        <f t="shared" si="1"/>
        <v>1</v>
      </c>
    </row>
    <row r="187">
      <c r="A187" s="3">
        <v>11.0</v>
      </c>
      <c r="B187" s="82" t="s">
        <v>1579</v>
      </c>
      <c r="C187" s="83">
        <v>2009.0</v>
      </c>
      <c r="D187" s="82" t="s">
        <v>1580</v>
      </c>
      <c r="E187" s="86" t="s">
        <v>1581</v>
      </c>
      <c r="J187" s="3" t="s">
        <v>11</v>
      </c>
      <c r="Q187" s="3"/>
      <c r="R187" s="3" t="s">
        <v>185</v>
      </c>
      <c r="Y187" s="85">
        <f t="shared" si="1"/>
        <v>1</v>
      </c>
    </row>
    <row r="188">
      <c r="A188" s="3">
        <v>12.0</v>
      </c>
      <c r="B188" s="82" t="s">
        <v>1582</v>
      </c>
      <c r="C188" s="83">
        <v>2006.0</v>
      </c>
      <c r="D188" s="82" t="s">
        <v>1583</v>
      </c>
      <c r="E188" s="91" t="s">
        <v>1584</v>
      </c>
      <c r="J188" s="3" t="s">
        <v>11</v>
      </c>
      <c r="Q188" s="3"/>
      <c r="R188" s="3" t="s">
        <v>185</v>
      </c>
      <c r="Y188" s="85">
        <f t="shared" si="1"/>
        <v>1</v>
      </c>
    </row>
    <row r="189">
      <c r="A189" s="3">
        <v>12.0</v>
      </c>
      <c r="B189" s="82" t="s">
        <v>1585</v>
      </c>
      <c r="C189" s="83">
        <v>2008.0</v>
      </c>
      <c r="D189" s="82" t="s">
        <v>1586</v>
      </c>
      <c r="E189" s="86" t="s">
        <v>1587</v>
      </c>
      <c r="J189" s="3" t="s">
        <v>11</v>
      </c>
      <c r="Q189" s="3"/>
      <c r="R189" s="3" t="s">
        <v>185</v>
      </c>
      <c r="Y189" s="85">
        <f t="shared" si="1"/>
        <v>1</v>
      </c>
    </row>
    <row r="190">
      <c r="A190" s="3">
        <v>12.0</v>
      </c>
      <c r="B190" s="82" t="s">
        <v>1588</v>
      </c>
      <c r="C190" s="82">
        <v>2010.0</v>
      </c>
      <c r="D190" s="82" t="s">
        <v>1589</v>
      </c>
      <c r="E190" s="86" t="s">
        <v>1590</v>
      </c>
      <c r="J190" s="3" t="s">
        <v>11</v>
      </c>
      <c r="Q190" s="3"/>
      <c r="R190" s="3" t="s">
        <v>185</v>
      </c>
      <c r="Y190" s="85">
        <f t="shared" si="1"/>
        <v>1</v>
      </c>
    </row>
    <row r="191">
      <c r="A191" s="3">
        <v>12.0</v>
      </c>
      <c r="B191" s="82" t="s">
        <v>1591</v>
      </c>
      <c r="C191" s="83">
        <v>2007.0</v>
      </c>
      <c r="D191" s="82" t="s">
        <v>1592</v>
      </c>
      <c r="E191" s="86" t="s">
        <v>1593</v>
      </c>
      <c r="J191" s="3" t="s">
        <v>11</v>
      </c>
      <c r="Q191" s="3"/>
      <c r="R191" s="3" t="s">
        <v>185</v>
      </c>
      <c r="Y191" s="85">
        <f t="shared" si="1"/>
        <v>1</v>
      </c>
    </row>
    <row r="192">
      <c r="A192" s="3">
        <v>12.0</v>
      </c>
      <c r="B192" s="82" t="s">
        <v>1594</v>
      </c>
      <c r="C192" s="83">
        <v>2011.0</v>
      </c>
      <c r="D192" s="82" t="s">
        <v>1595</v>
      </c>
      <c r="E192" s="91" t="s">
        <v>1596</v>
      </c>
      <c r="F192" s="60"/>
      <c r="G192" s="61" t="s">
        <v>11</v>
      </c>
      <c r="H192" s="60"/>
      <c r="I192" s="60"/>
      <c r="J192" s="60"/>
      <c r="K192" s="58"/>
      <c r="L192" s="58"/>
      <c r="M192" s="58"/>
      <c r="N192" s="58"/>
      <c r="O192" s="58"/>
      <c r="P192" s="58"/>
      <c r="R192" s="85" t="str">
        <f>IF(AND(F192&lt;&gt;"x",G192&lt;&gt;"x",H192&lt;&gt;"x",I192&lt;&gt;"x",J192&lt;&gt;"x",K192&lt;&gt;"x",L192&lt;&gt;"x",M192&lt;&gt;"x",N192&lt;&gt;"x",O192&lt;&gt;"x",P192&lt;&gt;"x", Q192&lt;&gt;"x"),"Yes","No")</f>
        <v>No</v>
      </c>
      <c r="Y192" s="85">
        <f t="shared" si="1"/>
        <v>1</v>
      </c>
    </row>
    <row r="193">
      <c r="A193" s="3">
        <v>12.0</v>
      </c>
      <c r="B193" s="82" t="s">
        <v>1597</v>
      </c>
      <c r="C193" s="83">
        <v>2001.0</v>
      </c>
      <c r="D193" s="82" t="s">
        <v>1598</v>
      </c>
      <c r="E193" s="86" t="s">
        <v>1599</v>
      </c>
      <c r="J193" s="3" t="s">
        <v>11</v>
      </c>
      <c r="Q193" s="3"/>
      <c r="R193" s="3" t="s">
        <v>185</v>
      </c>
      <c r="Y193" s="85">
        <f t="shared" si="1"/>
        <v>1</v>
      </c>
    </row>
    <row r="194">
      <c r="A194" s="3">
        <v>12.0</v>
      </c>
      <c r="B194" s="82" t="s">
        <v>1600</v>
      </c>
      <c r="C194" s="83">
        <v>1987.0</v>
      </c>
      <c r="D194" s="82" t="s">
        <v>1601</v>
      </c>
      <c r="E194" s="84" t="s">
        <v>1602</v>
      </c>
      <c r="J194" s="3" t="s">
        <v>11</v>
      </c>
      <c r="Q194" s="3"/>
      <c r="R194" s="3" t="s">
        <v>185</v>
      </c>
      <c r="Y194" s="85">
        <f t="shared" si="1"/>
        <v>1</v>
      </c>
    </row>
    <row r="195">
      <c r="A195" s="3">
        <v>12.0</v>
      </c>
      <c r="B195" s="82" t="s">
        <v>1603</v>
      </c>
      <c r="C195" s="83">
        <v>2003.0</v>
      </c>
      <c r="D195" s="82" t="s">
        <v>1604</v>
      </c>
      <c r="E195" s="84" t="s">
        <v>1605</v>
      </c>
      <c r="J195" s="3" t="s">
        <v>11</v>
      </c>
      <c r="Q195" s="3"/>
      <c r="R195" s="3" t="s">
        <v>185</v>
      </c>
      <c r="Y195" s="85">
        <f t="shared" si="1"/>
        <v>1</v>
      </c>
    </row>
    <row r="196">
      <c r="A196" s="3">
        <v>12.0</v>
      </c>
      <c r="B196" s="82" t="s">
        <v>1606</v>
      </c>
      <c r="C196" s="83">
        <v>1997.0</v>
      </c>
      <c r="D196" s="82" t="s">
        <v>1607</v>
      </c>
      <c r="E196" s="88" t="s">
        <v>1608</v>
      </c>
      <c r="J196" s="3" t="s">
        <v>11</v>
      </c>
      <c r="Q196" s="3"/>
      <c r="R196" s="3" t="s">
        <v>185</v>
      </c>
      <c r="Y196" s="85">
        <f t="shared" si="1"/>
        <v>1</v>
      </c>
    </row>
    <row r="197">
      <c r="A197" s="3">
        <v>12.0</v>
      </c>
      <c r="B197" s="82" t="s">
        <v>1609</v>
      </c>
      <c r="C197" s="83">
        <v>1998.0</v>
      </c>
      <c r="D197" s="82" t="s">
        <v>1610</v>
      </c>
      <c r="E197" s="88" t="s">
        <v>1611</v>
      </c>
      <c r="J197" s="3" t="s">
        <v>11</v>
      </c>
      <c r="Q197" s="3"/>
      <c r="R197" s="3" t="s">
        <v>185</v>
      </c>
      <c r="Y197" s="85">
        <f t="shared" si="1"/>
        <v>1</v>
      </c>
    </row>
    <row r="198">
      <c r="A198" s="3" t="s">
        <v>1612</v>
      </c>
      <c r="B198" s="82" t="s">
        <v>1613</v>
      </c>
      <c r="C198" s="83">
        <v>1998.0</v>
      </c>
      <c r="D198" s="82" t="s">
        <v>1614</v>
      </c>
      <c r="E198" s="88" t="s">
        <v>1615</v>
      </c>
      <c r="J198" s="3" t="s">
        <v>11</v>
      </c>
      <c r="Q198" s="3"/>
      <c r="R198" s="3" t="s">
        <v>185</v>
      </c>
      <c r="Y198" s="85">
        <f t="shared" si="1"/>
        <v>1</v>
      </c>
    </row>
    <row r="199">
      <c r="A199" s="3">
        <v>12.0</v>
      </c>
      <c r="B199" s="82" t="s">
        <v>1616</v>
      </c>
      <c r="C199" s="83">
        <v>2009.0</v>
      </c>
      <c r="D199" s="82" t="s">
        <v>1586</v>
      </c>
      <c r="E199" s="95" t="s">
        <v>1617</v>
      </c>
      <c r="J199" s="3" t="s">
        <v>11</v>
      </c>
      <c r="Q199" s="3"/>
      <c r="R199" s="3" t="s">
        <v>185</v>
      </c>
      <c r="Y199" s="85">
        <f t="shared" si="1"/>
        <v>1</v>
      </c>
    </row>
    <row r="200">
      <c r="A200" s="3">
        <v>12.0</v>
      </c>
      <c r="B200" s="82" t="s">
        <v>1618</v>
      </c>
      <c r="C200" s="82">
        <v>2001.0</v>
      </c>
      <c r="D200" s="82" t="s">
        <v>1619</v>
      </c>
      <c r="E200" s="95" t="s">
        <v>1620</v>
      </c>
      <c r="J200" s="3" t="s">
        <v>11</v>
      </c>
      <c r="Q200" s="3"/>
      <c r="R200" s="3" t="s">
        <v>185</v>
      </c>
      <c r="Y200" s="85">
        <f t="shared" si="1"/>
        <v>1</v>
      </c>
    </row>
    <row r="201">
      <c r="A201" s="3">
        <v>12.0</v>
      </c>
      <c r="B201" s="82" t="s">
        <v>1621</v>
      </c>
      <c r="C201" s="83">
        <v>2011.0</v>
      </c>
      <c r="D201" s="82" t="s">
        <v>1622</v>
      </c>
      <c r="E201" s="95" t="s">
        <v>1623</v>
      </c>
      <c r="F201" s="60"/>
      <c r="G201" s="60"/>
      <c r="H201" s="61" t="s">
        <v>11</v>
      </c>
      <c r="I201" s="60"/>
      <c r="J201" s="60"/>
      <c r="K201" s="58"/>
      <c r="L201" s="58"/>
      <c r="M201" s="58"/>
      <c r="N201" s="58"/>
      <c r="O201" s="58"/>
      <c r="P201" s="58"/>
      <c r="R201" s="85" t="str">
        <f>IF(AND(F201&lt;&gt;"x",G201&lt;&gt;"x",H201&lt;&gt;"x",I201&lt;&gt;"x",J201&lt;&gt;"x",K201&lt;&gt;"x",L201&lt;&gt;"x",M201&lt;&gt;"x",N201&lt;&gt;"x",O201&lt;&gt;"x",P201&lt;&gt;"x", Q201&lt;&gt;"x"),"Yes","No")</f>
        <v>No</v>
      </c>
      <c r="Y201" s="85">
        <f t="shared" si="1"/>
        <v>1</v>
      </c>
    </row>
    <row r="202">
      <c r="A202" s="3">
        <v>12.0</v>
      </c>
      <c r="B202" s="82" t="s">
        <v>1624</v>
      </c>
      <c r="C202" s="83">
        <v>1998.0</v>
      </c>
      <c r="D202" s="82" t="s">
        <v>1625</v>
      </c>
      <c r="E202" s="96" t="s">
        <v>1626</v>
      </c>
      <c r="J202" s="3" t="s">
        <v>11</v>
      </c>
      <c r="Q202" s="3"/>
      <c r="R202" s="3" t="s">
        <v>185</v>
      </c>
      <c r="Y202" s="85">
        <f t="shared" si="1"/>
        <v>1</v>
      </c>
    </row>
    <row r="203">
      <c r="A203" s="3">
        <v>12.0</v>
      </c>
      <c r="B203" s="82" t="s">
        <v>1627</v>
      </c>
      <c r="C203" s="83">
        <v>2008.0</v>
      </c>
      <c r="D203" s="82" t="s">
        <v>1628</v>
      </c>
      <c r="E203" s="96" t="s">
        <v>1629</v>
      </c>
      <c r="J203" s="3" t="s">
        <v>11</v>
      </c>
      <c r="Q203" s="3"/>
      <c r="R203" s="3" t="s">
        <v>185</v>
      </c>
      <c r="Y203" s="85">
        <f t="shared" si="1"/>
        <v>1</v>
      </c>
    </row>
    <row r="204">
      <c r="A204" s="3">
        <v>13.0</v>
      </c>
      <c r="B204" s="82" t="s">
        <v>1630</v>
      </c>
      <c r="C204" s="83">
        <v>2012.0</v>
      </c>
      <c r="D204" s="82" t="s">
        <v>1631</v>
      </c>
      <c r="E204" s="95" t="s">
        <v>1632</v>
      </c>
      <c r="F204" s="61" t="s">
        <v>11</v>
      </c>
      <c r="G204" s="61" t="s">
        <v>11</v>
      </c>
      <c r="H204" s="61" t="s">
        <v>11</v>
      </c>
      <c r="I204" s="60"/>
      <c r="J204" s="60"/>
      <c r="K204" s="58"/>
      <c r="L204" s="58"/>
      <c r="M204" s="58"/>
      <c r="N204" s="58"/>
      <c r="O204" s="58"/>
      <c r="P204" s="58"/>
      <c r="R204" s="85" t="str">
        <f t="shared" ref="R204:R205" si="10">IF(AND(F204&lt;&gt;"x",G204&lt;&gt;"x",H204&lt;&gt;"x",I204&lt;&gt;"x",J204&lt;&gt;"x",K204&lt;&gt;"x",L204&lt;&gt;"x",M204&lt;&gt;"x",N204&lt;&gt;"x",O204&lt;&gt;"x",P204&lt;&gt;"x", Q204&lt;&gt;"x"),"Yes","No")</f>
        <v>No</v>
      </c>
      <c r="Y204" s="85">
        <f t="shared" si="1"/>
        <v>1</v>
      </c>
    </row>
    <row r="205">
      <c r="A205" s="3">
        <v>13.0</v>
      </c>
      <c r="B205" s="82" t="s">
        <v>1633</v>
      </c>
      <c r="C205" s="83">
        <v>2011.0</v>
      </c>
      <c r="D205" s="82" t="s">
        <v>1634</v>
      </c>
      <c r="E205" s="96" t="s">
        <v>1635</v>
      </c>
      <c r="F205" s="60"/>
      <c r="G205" s="61" t="s">
        <v>11</v>
      </c>
      <c r="H205" s="60"/>
      <c r="I205" s="60"/>
      <c r="J205" s="60"/>
      <c r="K205" s="58"/>
      <c r="L205" s="58"/>
      <c r="M205" s="58"/>
      <c r="N205" s="58"/>
      <c r="O205" s="58"/>
      <c r="P205" s="58"/>
      <c r="R205" s="85" t="str">
        <f t="shared" si="10"/>
        <v>No</v>
      </c>
      <c r="Y205" s="85">
        <f t="shared" si="1"/>
        <v>1</v>
      </c>
    </row>
    <row r="206">
      <c r="A206" s="3">
        <v>13.0</v>
      </c>
      <c r="B206" s="82" t="s">
        <v>1636</v>
      </c>
      <c r="C206" s="90"/>
      <c r="D206" s="90"/>
      <c r="E206" s="101" t="s">
        <v>1637</v>
      </c>
      <c r="F206" s="60"/>
      <c r="G206" s="60"/>
      <c r="H206" s="60"/>
      <c r="I206" s="60"/>
      <c r="J206" s="60"/>
      <c r="K206" s="58"/>
      <c r="L206" s="58"/>
      <c r="M206" s="58"/>
      <c r="N206" s="58"/>
      <c r="O206" s="58"/>
      <c r="P206" s="58"/>
      <c r="Q206" s="3"/>
      <c r="R206" s="3" t="s">
        <v>185</v>
      </c>
      <c r="S206" s="3" t="s">
        <v>1035</v>
      </c>
      <c r="Y206" s="85">
        <f t="shared" si="1"/>
        <v>1</v>
      </c>
    </row>
    <row r="207">
      <c r="A207" s="3">
        <v>13.0</v>
      </c>
      <c r="B207" s="82" t="s">
        <v>1638</v>
      </c>
      <c r="C207" s="83">
        <v>1992.0</v>
      </c>
      <c r="D207" s="82" t="s">
        <v>1639</v>
      </c>
      <c r="E207" s="96" t="s">
        <v>1640</v>
      </c>
      <c r="J207" s="3" t="s">
        <v>11</v>
      </c>
      <c r="Q207" s="3"/>
      <c r="R207" s="3" t="s">
        <v>185</v>
      </c>
      <c r="Y207" s="85">
        <f t="shared" si="1"/>
        <v>1</v>
      </c>
    </row>
    <row r="208">
      <c r="A208" s="3">
        <v>13.0</v>
      </c>
      <c r="B208" s="82" t="s">
        <v>1641</v>
      </c>
      <c r="C208" s="83">
        <v>2010.0</v>
      </c>
      <c r="D208" s="82" t="s">
        <v>1642</v>
      </c>
      <c r="E208" s="107" t="s">
        <v>1643</v>
      </c>
      <c r="J208" s="3" t="s">
        <v>11</v>
      </c>
      <c r="Q208" s="3"/>
      <c r="R208" s="3" t="s">
        <v>185</v>
      </c>
      <c r="Y208" s="85">
        <f t="shared" si="1"/>
        <v>1</v>
      </c>
    </row>
    <row r="209">
      <c r="A209" s="3">
        <v>13.0</v>
      </c>
      <c r="B209" s="82" t="s">
        <v>1644</v>
      </c>
      <c r="C209" s="83">
        <v>2008.0</v>
      </c>
      <c r="D209" s="82" t="s">
        <v>1645</v>
      </c>
      <c r="E209" s="96" t="s">
        <v>1646</v>
      </c>
      <c r="J209" s="3" t="s">
        <v>11</v>
      </c>
      <c r="Q209" s="3"/>
      <c r="R209" s="3" t="s">
        <v>185</v>
      </c>
      <c r="Y209" s="85">
        <f t="shared" si="1"/>
        <v>1</v>
      </c>
    </row>
    <row r="210">
      <c r="A210" s="3">
        <v>13.0</v>
      </c>
      <c r="B210" s="82" t="s">
        <v>1647</v>
      </c>
      <c r="C210" s="83">
        <v>2007.0</v>
      </c>
      <c r="D210" s="82" t="s">
        <v>1648</v>
      </c>
      <c r="E210" s="96" t="s">
        <v>1649</v>
      </c>
      <c r="J210" s="3" t="s">
        <v>11</v>
      </c>
      <c r="Q210" s="3"/>
      <c r="R210" s="3" t="s">
        <v>185</v>
      </c>
      <c r="Y210" s="85">
        <f t="shared" si="1"/>
        <v>1</v>
      </c>
    </row>
    <row r="211">
      <c r="A211" s="3">
        <v>13.0</v>
      </c>
      <c r="B211" s="82" t="s">
        <v>1650</v>
      </c>
      <c r="C211" s="83">
        <v>2010.0</v>
      </c>
      <c r="D211" s="82" t="s">
        <v>1651</v>
      </c>
      <c r="E211" s="95" t="s">
        <v>1652</v>
      </c>
      <c r="J211" s="3" t="s">
        <v>11</v>
      </c>
      <c r="Q211" s="3"/>
      <c r="R211" s="3" t="s">
        <v>185</v>
      </c>
      <c r="Y211" s="85">
        <f t="shared" si="1"/>
        <v>1</v>
      </c>
    </row>
    <row r="212">
      <c r="A212" s="3">
        <v>13.0</v>
      </c>
      <c r="B212" s="82" t="s">
        <v>1653</v>
      </c>
      <c r="C212" s="83">
        <v>2013.0</v>
      </c>
      <c r="D212" s="82" t="s">
        <v>1654</v>
      </c>
      <c r="E212" s="86" t="s">
        <v>1655</v>
      </c>
      <c r="F212" s="60"/>
      <c r="G212" s="61" t="s">
        <v>11</v>
      </c>
      <c r="H212" s="60"/>
      <c r="I212" s="60"/>
      <c r="J212" s="60"/>
      <c r="K212" s="58"/>
      <c r="L212" s="58"/>
      <c r="M212" s="58"/>
      <c r="N212" s="58"/>
      <c r="O212" s="58"/>
      <c r="P212" s="58"/>
      <c r="R212" s="85" t="str">
        <f>IF(AND(F212&lt;&gt;"x",G212&lt;&gt;"x",H212&lt;&gt;"x",I212&lt;&gt;"x",J212&lt;&gt;"x",K212&lt;&gt;"x",L212&lt;&gt;"x",M212&lt;&gt;"x",N212&lt;&gt;"x",O212&lt;&gt;"x",P212&lt;&gt;"x", Q212&lt;&gt;"x"),"Yes","No")</f>
        <v>No</v>
      </c>
      <c r="Y212" s="85">
        <f t="shared" si="1"/>
        <v>1</v>
      </c>
    </row>
    <row r="213">
      <c r="A213" s="3">
        <v>13.0</v>
      </c>
      <c r="B213" s="82" t="s">
        <v>1656</v>
      </c>
      <c r="C213" s="83">
        <v>1999.0</v>
      </c>
      <c r="D213" s="82" t="s">
        <v>1657</v>
      </c>
      <c r="E213" s="86" t="s">
        <v>1658</v>
      </c>
      <c r="J213" s="3" t="s">
        <v>11</v>
      </c>
      <c r="Q213" s="3"/>
      <c r="R213" s="3" t="s">
        <v>185</v>
      </c>
      <c r="Y213" s="85">
        <f t="shared" si="1"/>
        <v>1</v>
      </c>
    </row>
    <row r="214">
      <c r="A214" s="3">
        <v>13.0</v>
      </c>
      <c r="B214" s="82" t="s">
        <v>1659</v>
      </c>
      <c r="C214" s="83">
        <v>2000.0</v>
      </c>
      <c r="D214" s="82" t="s">
        <v>1660</v>
      </c>
      <c r="E214" s="88" t="s">
        <v>1661</v>
      </c>
      <c r="J214" s="3" t="s">
        <v>11</v>
      </c>
      <c r="Q214" s="3"/>
      <c r="R214" s="3" t="s">
        <v>185</v>
      </c>
      <c r="Y214" s="85">
        <f t="shared" si="1"/>
        <v>1</v>
      </c>
    </row>
    <row r="215">
      <c r="A215" s="3">
        <v>13.0</v>
      </c>
      <c r="B215" s="82" t="s">
        <v>1662</v>
      </c>
      <c r="C215" s="83">
        <v>2019.0</v>
      </c>
      <c r="D215" s="82" t="s">
        <v>1663</v>
      </c>
      <c r="E215" s="84" t="s">
        <v>1664</v>
      </c>
      <c r="F215" s="60"/>
      <c r="G215" s="60"/>
      <c r="H215" s="61" t="s">
        <v>11</v>
      </c>
      <c r="I215" s="60"/>
      <c r="J215" s="60"/>
      <c r="K215" s="58"/>
      <c r="L215" s="58"/>
      <c r="M215" s="58"/>
      <c r="N215" s="58"/>
      <c r="O215" s="58"/>
      <c r="P215" s="58"/>
      <c r="R215" s="85" t="str">
        <f t="shared" ref="R215:R216" si="11">IF(AND(F215&lt;&gt;"x",G215&lt;&gt;"x",H215&lt;&gt;"x",I215&lt;&gt;"x",J215&lt;&gt;"x",K215&lt;&gt;"x",L215&lt;&gt;"x",M215&lt;&gt;"x",N215&lt;&gt;"x",O215&lt;&gt;"x",P215&lt;&gt;"x", Q215&lt;&gt;"x"),"Yes","No")</f>
        <v>No</v>
      </c>
      <c r="Y215" s="85">
        <f t="shared" si="1"/>
        <v>1</v>
      </c>
    </row>
    <row r="216">
      <c r="A216" s="3">
        <v>13.0</v>
      </c>
      <c r="B216" s="82" t="s">
        <v>1665</v>
      </c>
      <c r="C216" s="83">
        <v>2016.0</v>
      </c>
      <c r="D216" s="82" t="s">
        <v>1666</v>
      </c>
      <c r="E216" s="84" t="s">
        <v>1667</v>
      </c>
      <c r="F216" s="60"/>
      <c r="G216" s="60"/>
      <c r="H216" s="60"/>
      <c r="I216" s="60"/>
      <c r="J216" s="60"/>
      <c r="K216" s="58"/>
      <c r="L216" s="58"/>
      <c r="M216" s="58"/>
      <c r="N216" s="59" t="s">
        <v>11</v>
      </c>
      <c r="O216" s="58"/>
      <c r="P216" s="58"/>
      <c r="R216" s="85" t="str">
        <f t="shared" si="11"/>
        <v>No</v>
      </c>
      <c r="Y216" s="85">
        <f t="shared" si="1"/>
        <v>1</v>
      </c>
    </row>
    <row r="217">
      <c r="A217" s="3">
        <v>13.0</v>
      </c>
      <c r="B217" s="82" t="s">
        <v>1668</v>
      </c>
      <c r="C217" s="83">
        <v>2009.0</v>
      </c>
      <c r="D217" s="82" t="s">
        <v>1669</v>
      </c>
      <c r="E217" s="86" t="s">
        <v>1670</v>
      </c>
      <c r="J217" s="3" t="s">
        <v>11</v>
      </c>
      <c r="Q217" s="3"/>
      <c r="R217" s="3" t="s">
        <v>185</v>
      </c>
      <c r="Y217" s="85">
        <f t="shared" si="1"/>
        <v>1</v>
      </c>
    </row>
    <row r="218">
      <c r="A218" s="3">
        <v>13.0</v>
      </c>
      <c r="B218" s="82" t="s">
        <v>1671</v>
      </c>
      <c r="C218" s="83">
        <v>2014.0</v>
      </c>
      <c r="D218" s="82" t="s">
        <v>1672</v>
      </c>
      <c r="E218" s="86" t="s">
        <v>1673</v>
      </c>
      <c r="F218" s="60"/>
      <c r="G218" s="61" t="s">
        <v>11</v>
      </c>
      <c r="H218" s="60"/>
      <c r="I218" s="60"/>
      <c r="J218" s="60"/>
      <c r="K218" s="58"/>
      <c r="L218" s="58"/>
      <c r="M218" s="58"/>
      <c r="N218" s="58"/>
      <c r="O218" s="58"/>
      <c r="P218" s="58"/>
      <c r="R218" s="85" t="str">
        <f t="shared" ref="R218:R221" si="12">IF(AND(F218&lt;&gt;"x",G218&lt;&gt;"x",H218&lt;&gt;"x",I218&lt;&gt;"x",J218&lt;&gt;"x",K218&lt;&gt;"x",L218&lt;&gt;"x",M218&lt;&gt;"x",N218&lt;&gt;"x",O218&lt;&gt;"x",P218&lt;&gt;"x", Q218&lt;&gt;"x"),"Yes","No")</f>
        <v>No</v>
      </c>
      <c r="Y218" s="85">
        <f t="shared" si="1"/>
        <v>1</v>
      </c>
    </row>
    <row r="219">
      <c r="A219" s="3">
        <v>13.0</v>
      </c>
      <c r="B219" s="82" t="s">
        <v>1674</v>
      </c>
      <c r="C219" s="83">
        <v>2018.0</v>
      </c>
      <c r="D219" s="82" t="s">
        <v>1675</v>
      </c>
      <c r="E219" s="86" t="s">
        <v>1676</v>
      </c>
      <c r="F219" s="60"/>
      <c r="G219" s="61" t="s">
        <v>11</v>
      </c>
      <c r="H219" s="60"/>
      <c r="I219" s="60"/>
      <c r="J219" s="60"/>
      <c r="K219" s="58"/>
      <c r="L219" s="58"/>
      <c r="M219" s="58"/>
      <c r="N219" s="58"/>
      <c r="O219" s="58"/>
      <c r="P219" s="58"/>
      <c r="R219" s="85" t="str">
        <f t="shared" si="12"/>
        <v>No</v>
      </c>
      <c r="Y219" s="85">
        <f t="shared" si="1"/>
        <v>1</v>
      </c>
    </row>
    <row r="220">
      <c r="A220" s="3">
        <v>13.0</v>
      </c>
      <c r="B220" s="82" t="s">
        <v>1677</v>
      </c>
      <c r="C220" s="83">
        <v>2016.0</v>
      </c>
      <c r="D220" s="82" t="s">
        <v>1678</v>
      </c>
      <c r="E220" s="88" t="s">
        <v>1679</v>
      </c>
      <c r="F220" s="60"/>
      <c r="G220" s="60"/>
      <c r="H220" s="61" t="s">
        <v>11</v>
      </c>
      <c r="I220" s="60"/>
      <c r="J220" s="60"/>
      <c r="K220" s="58"/>
      <c r="L220" s="58"/>
      <c r="M220" s="58"/>
      <c r="N220" s="58"/>
      <c r="O220" s="58"/>
      <c r="P220" s="58"/>
      <c r="R220" s="85" t="str">
        <f t="shared" si="12"/>
        <v>No</v>
      </c>
      <c r="Y220" s="85">
        <f t="shared" si="1"/>
        <v>1</v>
      </c>
    </row>
    <row r="221">
      <c r="A221" s="3">
        <v>13.0</v>
      </c>
      <c r="B221" s="82" t="s">
        <v>1680</v>
      </c>
      <c r="C221" s="83">
        <v>2011.0</v>
      </c>
      <c r="D221" s="82" t="s">
        <v>1681</v>
      </c>
      <c r="E221" s="86" t="s">
        <v>1682</v>
      </c>
      <c r="F221" s="60"/>
      <c r="G221" s="61" t="s">
        <v>11</v>
      </c>
      <c r="H221" s="61"/>
      <c r="I221" s="60"/>
      <c r="J221" s="60"/>
      <c r="K221" s="58"/>
      <c r="L221" s="58"/>
      <c r="M221" s="58"/>
      <c r="N221" s="58"/>
      <c r="O221" s="58"/>
      <c r="P221" s="58"/>
      <c r="R221" s="85" t="str">
        <f t="shared" si="12"/>
        <v>No</v>
      </c>
      <c r="Y221" s="85">
        <f t="shared" si="1"/>
        <v>1</v>
      </c>
    </row>
    <row r="222">
      <c r="A222" s="3">
        <v>13.0</v>
      </c>
      <c r="B222" s="82" t="s">
        <v>1683</v>
      </c>
      <c r="C222" s="83">
        <v>1998.0</v>
      </c>
      <c r="D222" s="82" t="s">
        <v>1684</v>
      </c>
      <c r="E222" s="86" t="s">
        <v>1685</v>
      </c>
      <c r="J222" s="3" t="s">
        <v>11</v>
      </c>
      <c r="Q222" s="3"/>
      <c r="R222" s="3" t="s">
        <v>185</v>
      </c>
      <c r="Y222" s="85">
        <f t="shared" si="1"/>
        <v>1</v>
      </c>
    </row>
    <row r="223">
      <c r="A223" s="3">
        <v>13.0</v>
      </c>
      <c r="B223" s="82" t="s">
        <v>1686</v>
      </c>
      <c r="C223" s="83">
        <v>2004.0</v>
      </c>
      <c r="D223" s="82" t="s">
        <v>1687</v>
      </c>
      <c r="E223" s="108" t="s">
        <v>1688</v>
      </c>
      <c r="J223" s="3" t="s">
        <v>11</v>
      </c>
      <c r="Q223" s="3"/>
      <c r="R223" s="3" t="s">
        <v>185</v>
      </c>
      <c r="Y223" s="85">
        <f t="shared" si="1"/>
        <v>1</v>
      </c>
    </row>
    <row r="224">
      <c r="A224" s="3">
        <v>13.0</v>
      </c>
      <c r="B224" s="82" t="s">
        <v>1689</v>
      </c>
      <c r="C224" s="83">
        <v>2010.0</v>
      </c>
      <c r="D224" s="82" t="s">
        <v>1690</v>
      </c>
      <c r="E224" s="86" t="s">
        <v>1691</v>
      </c>
      <c r="J224" s="3" t="s">
        <v>11</v>
      </c>
      <c r="Q224" s="3"/>
      <c r="R224" s="3" t="s">
        <v>185</v>
      </c>
      <c r="Y224" s="85">
        <f t="shared" si="1"/>
        <v>1</v>
      </c>
    </row>
    <row r="225">
      <c r="A225" s="3">
        <v>13.0</v>
      </c>
      <c r="B225" s="82" t="s">
        <v>1692</v>
      </c>
      <c r="C225" s="83">
        <v>1999.0</v>
      </c>
      <c r="D225" s="82" t="s">
        <v>1693</v>
      </c>
      <c r="E225" s="88" t="s">
        <v>1694</v>
      </c>
      <c r="J225" s="3" t="s">
        <v>11</v>
      </c>
      <c r="Q225" s="3"/>
      <c r="R225" s="3" t="s">
        <v>185</v>
      </c>
      <c r="Y225" s="85">
        <f t="shared" si="1"/>
        <v>1</v>
      </c>
    </row>
    <row r="226">
      <c r="A226" s="3">
        <v>13.0</v>
      </c>
      <c r="B226" s="82" t="s">
        <v>1695</v>
      </c>
      <c r="C226" s="83">
        <v>2016.0</v>
      </c>
      <c r="D226" s="82" t="s">
        <v>1696</v>
      </c>
      <c r="E226" s="89" t="s">
        <v>1697</v>
      </c>
      <c r="F226" s="60"/>
      <c r="G226" s="60"/>
      <c r="H226" s="60"/>
      <c r="I226" s="60"/>
      <c r="J226" s="60"/>
      <c r="K226" s="58"/>
      <c r="L226" s="58"/>
      <c r="M226" s="58"/>
      <c r="N226" s="59" t="s">
        <v>11</v>
      </c>
      <c r="O226" s="58"/>
      <c r="P226" s="58"/>
      <c r="R226" s="85" t="str">
        <f>IF(AND(F226&lt;&gt;"x",G226&lt;&gt;"x",H226&lt;&gt;"x",I226&lt;&gt;"x",J226&lt;&gt;"x",K226&lt;&gt;"x",L226&lt;&gt;"x",M226&lt;&gt;"x",N226&lt;&gt;"x",O226&lt;&gt;"x",P226&lt;&gt;"x", Q226&lt;&gt;"x"),"Yes","No")</f>
        <v>No</v>
      </c>
      <c r="Y226" s="85">
        <f t="shared" si="1"/>
        <v>1</v>
      </c>
    </row>
    <row r="227">
      <c r="A227" s="3">
        <v>13.0</v>
      </c>
      <c r="B227" s="82" t="s">
        <v>1698</v>
      </c>
      <c r="C227" s="83">
        <v>2018.0</v>
      </c>
      <c r="D227" s="82" t="s">
        <v>1699</v>
      </c>
      <c r="E227" s="91" t="s">
        <v>1700</v>
      </c>
      <c r="F227" s="60"/>
      <c r="G227" s="60"/>
      <c r="H227" s="61" t="s">
        <v>11</v>
      </c>
      <c r="I227" s="60"/>
      <c r="J227" s="60"/>
      <c r="K227" s="58"/>
      <c r="L227" s="58"/>
      <c r="M227" s="58"/>
      <c r="N227" s="58"/>
      <c r="O227" s="58"/>
      <c r="P227" s="58"/>
      <c r="R227" s="3" t="s">
        <v>185</v>
      </c>
      <c r="Y227" s="85">
        <f t="shared" si="1"/>
        <v>1</v>
      </c>
    </row>
    <row r="228">
      <c r="A228" s="3">
        <v>13.0</v>
      </c>
      <c r="B228" s="82" t="s">
        <v>1701</v>
      </c>
      <c r="C228" s="83">
        <v>2019.0</v>
      </c>
      <c r="D228" s="82" t="s">
        <v>1702</v>
      </c>
      <c r="E228" s="91" t="s">
        <v>1703</v>
      </c>
      <c r="F228" s="60"/>
      <c r="G228" s="60"/>
      <c r="H228" s="61" t="s">
        <v>11</v>
      </c>
      <c r="I228" s="60"/>
      <c r="J228" s="60"/>
      <c r="K228" s="58"/>
      <c r="L228" s="58"/>
      <c r="M228" s="58"/>
      <c r="N228" s="58"/>
      <c r="O228" s="58"/>
      <c r="P228" s="58"/>
      <c r="R228" s="3" t="s">
        <v>185</v>
      </c>
      <c r="S228" s="3" t="s">
        <v>1704</v>
      </c>
      <c r="Y228" s="85">
        <f t="shared" si="1"/>
        <v>1</v>
      </c>
    </row>
    <row r="229">
      <c r="A229" s="3">
        <v>13.0</v>
      </c>
      <c r="B229" s="82" t="s">
        <v>1705</v>
      </c>
      <c r="C229" s="83">
        <v>2015.0</v>
      </c>
      <c r="D229" s="82" t="s">
        <v>1706</v>
      </c>
      <c r="E229" s="89" t="s">
        <v>1707</v>
      </c>
      <c r="F229" s="60"/>
      <c r="G229" s="61" t="s">
        <v>11</v>
      </c>
      <c r="H229" s="61" t="s">
        <v>11</v>
      </c>
      <c r="I229" s="60"/>
      <c r="J229" s="60"/>
      <c r="K229" s="58"/>
      <c r="L229" s="58"/>
      <c r="M229" s="58"/>
      <c r="N229" s="58"/>
      <c r="O229" s="58"/>
      <c r="P229" s="58"/>
      <c r="R229" s="3" t="s">
        <v>185</v>
      </c>
      <c r="Y229" s="85">
        <f t="shared" si="1"/>
        <v>1</v>
      </c>
    </row>
    <row r="230">
      <c r="A230" s="3">
        <v>13.0</v>
      </c>
      <c r="B230" s="82" t="s">
        <v>1708</v>
      </c>
      <c r="C230" s="83">
        <v>2009.0</v>
      </c>
      <c r="D230" s="82" t="s">
        <v>1709</v>
      </c>
      <c r="E230" s="89" t="s">
        <v>1710</v>
      </c>
      <c r="J230" s="3" t="s">
        <v>11</v>
      </c>
      <c r="Q230" s="3"/>
      <c r="R230" s="3" t="s">
        <v>185</v>
      </c>
      <c r="Y230" s="85">
        <f t="shared" si="1"/>
        <v>1</v>
      </c>
    </row>
    <row r="231">
      <c r="A231" s="3">
        <v>13.0</v>
      </c>
      <c r="B231" s="82" t="s">
        <v>1711</v>
      </c>
      <c r="C231" s="83">
        <v>2009.0</v>
      </c>
      <c r="D231" s="82" t="s">
        <v>1712</v>
      </c>
      <c r="E231" s="91" t="s">
        <v>1713</v>
      </c>
      <c r="J231" s="3" t="s">
        <v>11</v>
      </c>
      <c r="Q231" s="3"/>
      <c r="R231" s="3" t="s">
        <v>185</v>
      </c>
      <c r="Y231" s="85">
        <f t="shared" si="1"/>
        <v>1</v>
      </c>
    </row>
    <row r="232">
      <c r="A232" s="3">
        <v>13.0</v>
      </c>
      <c r="B232" s="82" t="s">
        <v>1714</v>
      </c>
      <c r="C232" s="83">
        <v>2014.0</v>
      </c>
      <c r="D232" s="82" t="s">
        <v>1715</v>
      </c>
      <c r="E232" s="91" t="s">
        <v>1716</v>
      </c>
      <c r="F232" s="60"/>
      <c r="G232" s="61" t="s">
        <v>11</v>
      </c>
      <c r="H232" s="60"/>
      <c r="I232" s="60"/>
      <c r="J232" s="60"/>
      <c r="K232" s="58"/>
      <c r="L232" s="58"/>
      <c r="M232" s="58"/>
      <c r="N232" s="58"/>
      <c r="O232" s="58"/>
      <c r="P232" s="58"/>
      <c r="R232" s="3" t="s">
        <v>185</v>
      </c>
      <c r="Y232" s="85">
        <f t="shared" si="1"/>
        <v>1</v>
      </c>
    </row>
    <row r="233">
      <c r="A233" s="3">
        <v>13.0</v>
      </c>
      <c r="B233" s="82" t="s">
        <v>1717</v>
      </c>
      <c r="C233" s="83">
        <v>2019.0</v>
      </c>
      <c r="D233" s="82" t="s">
        <v>1718</v>
      </c>
      <c r="E233" s="84" t="s">
        <v>1719</v>
      </c>
      <c r="F233" s="60"/>
      <c r="G233" s="61" t="s">
        <v>11</v>
      </c>
      <c r="H233" s="60"/>
      <c r="I233" s="60"/>
      <c r="J233" s="60"/>
      <c r="K233" s="58"/>
      <c r="L233" s="58"/>
      <c r="M233" s="58"/>
      <c r="N233" s="58"/>
      <c r="O233" s="58"/>
      <c r="P233" s="58"/>
      <c r="R233" s="3" t="s">
        <v>185</v>
      </c>
      <c r="Y233" s="85">
        <f t="shared" si="1"/>
        <v>1</v>
      </c>
    </row>
    <row r="234">
      <c r="A234" s="3">
        <v>14.0</v>
      </c>
      <c r="B234" s="3" t="s">
        <v>1720</v>
      </c>
      <c r="D234" s="67" t="s">
        <v>1721</v>
      </c>
      <c r="E234" s="35" t="s">
        <v>1722</v>
      </c>
      <c r="F234" s="60"/>
      <c r="G234" s="61" t="s">
        <v>11</v>
      </c>
      <c r="H234" s="61" t="s">
        <v>11</v>
      </c>
      <c r="I234" s="60"/>
      <c r="J234" s="60"/>
      <c r="K234" s="58"/>
      <c r="L234" s="58"/>
      <c r="M234" s="58"/>
      <c r="N234" s="58"/>
      <c r="O234" s="58"/>
      <c r="P234" s="58"/>
      <c r="R234" s="3" t="s">
        <v>185</v>
      </c>
      <c r="Y234" s="85">
        <f t="shared" si="1"/>
        <v>1</v>
      </c>
    </row>
    <row r="235">
      <c r="A235" s="3">
        <v>14.0</v>
      </c>
      <c r="B235" s="3" t="s">
        <v>1723</v>
      </c>
      <c r="C235" s="3">
        <v>2010.0</v>
      </c>
      <c r="D235" s="67" t="s">
        <v>1724</v>
      </c>
      <c r="E235" s="45" t="s">
        <v>1725</v>
      </c>
      <c r="J235" s="3" t="s">
        <v>11</v>
      </c>
      <c r="Q235" s="3"/>
      <c r="R235" s="3" t="s">
        <v>185</v>
      </c>
      <c r="Y235" s="85">
        <f t="shared" si="1"/>
        <v>1</v>
      </c>
    </row>
    <row r="236">
      <c r="A236" s="3">
        <v>14.0</v>
      </c>
      <c r="B236" s="3" t="s">
        <v>1726</v>
      </c>
      <c r="D236" s="67" t="s">
        <v>1727</v>
      </c>
      <c r="E236" s="35" t="s">
        <v>1728</v>
      </c>
      <c r="F236" s="61" t="s">
        <v>11</v>
      </c>
      <c r="G236" s="60"/>
      <c r="H236" s="60"/>
      <c r="I236" s="60"/>
      <c r="J236" s="60"/>
      <c r="K236" s="58"/>
      <c r="L236" s="58"/>
      <c r="M236" s="58"/>
      <c r="N236" s="58"/>
      <c r="O236" s="58"/>
      <c r="P236" s="58"/>
      <c r="R236" s="3" t="s">
        <v>185</v>
      </c>
      <c r="S236" s="3" t="s">
        <v>1729</v>
      </c>
      <c r="Y236" s="85">
        <f t="shared" si="1"/>
        <v>1</v>
      </c>
    </row>
    <row r="237">
      <c r="A237" s="3">
        <v>14.0</v>
      </c>
      <c r="B237" s="3" t="s">
        <v>1730</v>
      </c>
      <c r="D237" s="67" t="s">
        <v>1731</v>
      </c>
      <c r="E237" s="35" t="s">
        <v>1732</v>
      </c>
      <c r="F237" s="60"/>
      <c r="G237" s="60"/>
      <c r="H237" s="61" t="s">
        <v>11</v>
      </c>
      <c r="I237" s="60"/>
      <c r="J237" s="60"/>
      <c r="K237" s="58"/>
      <c r="L237" s="58"/>
      <c r="M237" s="58"/>
      <c r="N237" s="58"/>
      <c r="O237" s="58"/>
      <c r="P237" s="58"/>
      <c r="R237" s="3" t="s">
        <v>185</v>
      </c>
      <c r="S237" s="3" t="s">
        <v>1733</v>
      </c>
      <c r="Y237" s="85">
        <f t="shared" si="1"/>
        <v>1</v>
      </c>
    </row>
    <row r="238">
      <c r="A238" s="3">
        <v>14.0</v>
      </c>
      <c r="B238" s="3" t="s">
        <v>1734</v>
      </c>
      <c r="C238" s="3">
        <v>1990.0</v>
      </c>
      <c r="D238" s="67" t="s">
        <v>1735</v>
      </c>
      <c r="E238" s="35" t="s">
        <v>1736</v>
      </c>
      <c r="F238" s="60"/>
      <c r="G238" s="60"/>
      <c r="H238" s="60"/>
      <c r="I238" s="60"/>
      <c r="J238" s="61" t="s">
        <v>11</v>
      </c>
      <c r="K238" s="58"/>
      <c r="L238" s="58"/>
      <c r="M238" s="58"/>
      <c r="N238" s="58"/>
      <c r="O238" s="58"/>
      <c r="P238" s="58"/>
      <c r="R238" s="3" t="s">
        <v>185</v>
      </c>
      <c r="Y238" s="85">
        <f t="shared" si="1"/>
        <v>1</v>
      </c>
    </row>
    <row r="239">
      <c r="A239" s="3">
        <v>14.0</v>
      </c>
      <c r="B239" s="3" t="s">
        <v>1737</v>
      </c>
      <c r="D239" s="67" t="s">
        <v>1731</v>
      </c>
      <c r="E239" s="35" t="s">
        <v>1738</v>
      </c>
      <c r="F239" s="61" t="s">
        <v>11</v>
      </c>
      <c r="G239" s="60"/>
      <c r="H239" s="60"/>
      <c r="I239" s="60"/>
      <c r="J239" s="60"/>
      <c r="K239" s="58"/>
      <c r="L239" s="58"/>
      <c r="M239" s="58"/>
      <c r="N239" s="58"/>
      <c r="O239" s="58"/>
      <c r="P239" s="58"/>
      <c r="Q239" s="3"/>
      <c r="R239" s="85" t="str">
        <f>IF(AND(F239&lt;&gt;"x",G239&lt;&gt;"x",H239&lt;&gt;"x",I239&lt;&gt;"x",J239&lt;&gt;"x",K239&lt;&gt;"x",L239&lt;&gt;"x",M239&lt;&gt;"x",N239&lt;&gt;"x",O239&lt;&gt;"x",P239&lt;&gt;"x", Q239&lt;&gt;"x"),"Yes","No")</f>
        <v>No</v>
      </c>
      <c r="S239" s="3" t="s">
        <v>1739</v>
      </c>
      <c r="Y239" s="85">
        <f t="shared" si="1"/>
        <v>1</v>
      </c>
    </row>
    <row r="240">
      <c r="A240" s="3">
        <v>14.0</v>
      </c>
      <c r="B240" s="3" t="s">
        <v>1740</v>
      </c>
      <c r="D240" s="67" t="s">
        <v>1741</v>
      </c>
      <c r="E240" s="35" t="s">
        <v>1742</v>
      </c>
      <c r="F240" s="61" t="s">
        <v>11</v>
      </c>
      <c r="G240" s="60"/>
      <c r="H240" s="60"/>
      <c r="I240" s="60"/>
      <c r="J240" s="60"/>
      <c r="K240" s="58"/>
      <c r="L240" s="58"/>
      <c r="M240" s="58"/>
      <c r="N240" s="58"/>
      <c r="O240" s="58"/>
      <c r="P240" s="58"/>
      <c r="R240" s="3" t="s">
        <v>185</v>
      </c>
      <c r="Y240" s="85">
        <f t="shared" si="1"/>
        <v>1</v>
      </c>
    </row>
    <row r="241">
      <c r="A241" s="3">
        <v>14.0</v>
      </c>
      <c r="B241" s="3" t="s">
        <v>1743</v>
      </c>
      <c r="D241" s="67" t="s">
        <v>1744</v>
      </c>
      <c r="E241" s="35" t="s">
        <v>1745</v>
      </c>
      <c r="F241" s="60"/>
      <c r="G241" s="60"/>
      <c r="H241" s="61" t="s">
        <v>11</v>
      </c>
      <c r="I241" s="60"/>
      <c r="J241" s="60"/>
      <c r="K241" s="58"/>
      <c r="L241" s="58"/>
      <c r="M241" s="58"/>
      <c r="N241" s="58"/>
      <c r="O241" s="58"/>
      <c r="P241" s="58"/>
      <c r="R241" s="3" t="s">
        <v>185</v>
      </c>
      <c r="Y241" s="85">
        <f t="shared" si="1"/>
        <v>1</v>
      </c>
    </row>
    <row r="242">
      <c r="A242" s="3">
        <v>14.0</v>
      </c>
      <c r="B242" s="3" t="s">
        <v>1746</v>
      </c>
      <c r="C242" s="3">
        <v>1997.0</v>
      </c>
      <c r="D242" s="67" t="s">
        <v>1747</v>
      </c>
      <c r="E242" s="35" t="s">
        <v>1748</v>
      </c>
      <c r="F242" s="60"/>
      <c r="G242" s="60"/>
      <c r="H242" s="60"/>
      <c r="I242" s="60"/>
      <c r="J242" s="61" t="s">
        <v>11</v>
      </c>
      <c r="K242" s="58"/>
      <c r="L242" s="58"/>
      <c r="M242" s="58"/>
      <c r="N242" s="58"/>
      <c r="O242" s="58"/>
      <c r="P242" s="58"/>
      <c r="Q242" s="3"/>
      <c r="R242" s="3" t="s">
        <v>185</v>
      </c>
      <c r="Y242" s="85">
        <f t="shared" si="1"/>
        <v>1</v>
      </c>
    </row>
    <row r="243">
      <c r="A243" s="3">
        <v>14.0</v>
      </c>
      <c r="B243" s="3" t="s">
        <v>1749</v>
      </c>
      <c r="C243" s="3">
        <v>2005.0</v>
      </c>
      <c r="D243" s="67" t="s">
        <v>1750</v>
      </c>
      <c r="E243" s="45" t="s">
        <v>1751</v>
      </c>
      <c r="J243" s="3" t="s">
        <v>11</v>
      </c>
      <c r="Q243" s="3"/>
      <c r="R243" s="3" t="s">
        <v>185</v>
      </c>
      <c r="Y243" s="85">
        <f t="shared" si="1"/>
        <v>1</v>
      </c>
    </row>
    <row r="244">
      <c r="A244" s="3">
        <v>14.0</v>
      </c>
      <c r="B244" s="67" t="s">
        <v>1752</v>
      </c>
      <c r="C244" s="3">
        <v>2005.0</v>
      </c>
      <c r="D244" s="3" t="s">
        <v>1753</v>
      </c>
      <c r="E244" s="68" t="s">
        <v>1754</v>
      </c>
      <c r="J244" s="3" t="s">
        <v>11</v>
      </c>
      <c r="Q244" s="3"/>
      <c r="R244" s="3" t="s">
        <v>185</v>
      </c>
      <c r="Y244" s="85">
        <f t="shared" si="1"/>
        <v>1</v>
      </c>
    </row>
    <row r="245">
      <c r="A245" s="3">
        <v>14.0</v>
      </c>
      <c r="B245" s="3" t="s">
        <v>1755</v>
      </c>
      <c r="C245" s="3">
        <v>2008.0</v>
      </c>
      <c r="D245" s="3" t="s">
        <v>1756</v>
      </c>
      <c r="E245" s="36" t="s">
        <v>1757</v>
      </c>
      <c r="J245" s="3" t="s">
        <v>11</v>
      </c>
      <c r="Q245" s="3"/>
      <c r="R245" s="3" t="s">
        <v>185</v>
      </c>
      <c r="Y245" s="85">
        <f t="shared" si="1"/>
        <v>1</v>
      </c>
    </row>
    <row r="246">
      <c r="A246" s="109">
        <v>14.0</v>
      </c>
      <c r="B246" s="46" t="s">
        <v>159</v>
      </c>
      <c r="C246" s="110">
        <v>2013.0</v>
      </c>
      <c r="D246" s="46" t="s">
        <v>160</v>
      </c>
      <c r="E246" s="84" t="s">
        <v>161</v>
      </c>
      <c r="F246" s="60"/>
      <c r="G246" s="111"/>
      <c r="H246" s="111"/>
      <c r="I246" s="111"/>
      <c r="J246" s="111"/>
      <c r="K246" s="112"/>
      <c r="L246" s="112"/>
      <c r="M246" s="112"/>
      <c r="N246" s="112"/>
      <c r="O246" s="112"/>
      <c r="P246" s="112"/>
      <c r="Q246" s="113"/>
      <c r="R246" s="3" t="s">
        <v>210</v>
      </c>
      <c r="S246" s="46" t="s">
        <v>162</v>
      </c>
      <c r="T246" s="113"/>
      <c r="U246" s="113"/>
      <c r="V246" s="113"/>
      <c r="W246" s="113"/>
      <c r="X246" s="113"/>
      <c r="Y246" s="85">
        <f t="shared" si="1"/>
        <v>1</v>
      </c>
    </row>
    <row r="247">
      <c r="A247" s="3">
        <v>14.0</v>
      </c>
      <c r="B247" s="3" t="s">
        <v>1758</v>
      </c>
      <c r="C247" s="3">
        <v>2010.0</v>
      </c>
      <c r="E247" s="36" t="s">
        <v>1759</v>
      </c>
      <c r="J247" s="3" t="s">
        <v>11</v>
      </c>
      <c r="Q247" s="3"/>
      <c r="R247" s="3" t="s">
        <v>185</v>
      </c>
      <c r="Y247" s="85">
        <f t="shared" si="1"/>
        <v>1</v>
      </c>
    </row>
    <row r="248">
      <c r="A248" s="3">
        <v>14.0</v>
      </c>
      <c r="B248" s="3" t="s">
        <v>1760</v>
      </c>
      <c r="D248" s="67" t="s">
        <v>1761</v>
      </c>
      <c r="E248" s="35" t="s">
        <v>1762</v>
      </c>
      <c r="F248" s="60"/>
      <c r="G248" s="60"/>
      <c r="H248" s="61" t="s">
        <v>11</v>
      </c>
      <c r="I248" s="60"/>
      <c r="J248" s="60"/>
      <c r="K248" s="58"/>
      <c r="L248" s="58"/>
      <c r="M248" s="58"/>
      <c r="N248" s="58"/>
      <c r="O248" s="58"/>
      <c r="P248" s="58"/>
      <c r="R248" s="3" t="s">
        <v>185</v>
      </c>
      <c r="S248" s="3" t="s">
        <v>1763</v>
      </c>
      <c r="Y248" s="85">
        <f t="shared" si="1"/>
        <v>1</v>
      </c>
    </row>
    <row r="249">
      <c r="A249" s="3">
        <v>14.0</v>
      </c>
      <c r="B249" s="46" t="s">
        <v>1764</v>
      </c>
      <c r="C249" s="110">
        <v>2014.0</v>
      </c>
      <c r="D249" s="46" t="s">
        <v>1765</v>
      </c>
      <c r="E249" s="84" t="s">
        <v>1766</v>
      </c>
      <c r="F249" s="61" t="s">
        <v>11</v>
      </c>
      <c r="G249" s="111"/>
      <c r="H249" s="114" t="s">
        <v>11</v>
      </c>
      <c r="I249" s="111"/>
      <c r="J249" s="111"/>
      <c r="K249" s="112"/>
      <c r="L249" s="112"/>
      <c r="M249" s="112"/>
      <c r="N249" s="112"/>
      <c r="O249" s="112"/>
      <c r="P249" s="112"/>
      <c r="Q249" s="113"/>
      <c r="R249" s="3" t="s">
        <v>185</v>
      </c>
      <c r="S249" s="113"/>
      <c r="T249" s="113"/>
      <c r="U249" s="113"/>
      <c r="V249" s="113"/>
      <c r="W249" s="113"/>
      <c r="X249" s="113"/>
      <c r="Y249" s="85">
        <f t="shared" si="1"/>
        <v>1</v>
      </c>
    </row>
    <row r="250">
      <c r="A250" s="3">
        <v>16.0</v>
      </c>
      <c r="B250" s="3" t="s">
        <v>1767</v>
      </c>
      <c r="C250" s="3">
        <v>2005.0</v>
      </c>
      <c r="D250" s="67" t="s">
        <v>1768</v>
      </c>
      <c r="E250" s="45" t="s">
        <v>1769</v>
      </c>
      <c r="J250" s="3" t="s">
        <v>11</v>
      </c>
      <c r="Q250" s="3"/>
      <c r="R250" s="3" t="s">
        <v>185</v>
      </c>
      <c r="Y250" s="85">
        <f t="shared" si="1"/>
        <v>1</v>
      </c>
    </row>
    <row r="251">
      <c r="A251" s="3">
        <v>16.0</v>
      </c>
      <c r="B251" s="3" t="s">
        <v>1770</v>
      </c>
      <c r="C251" s="3">
        <v>2010.0</v>
      </c>
      <c r="D251" s="67" t="s">
        <v>1771</v>
      </c>
      <c r="E251" s="45" t="s">
        <v>1772</v>
      </c>
      <c r="J251" s="3" t="s">
        <v>11</v>
      </c>
      <c r="Q251" s="3"/>
      <c r="R251" s="3" t="s">
        <v>185</v>
      </c>
      <c r="Y251" s="85">
        <f t="shared" si="1"/>
        <v>1</v>
      </c>
    </row>
    <row r="252">
      <c r="A252" s="3">
        <v>16.0</v>
      </c>
      <c r="B252" s="3" t="s">
        <v>1773</v>
      </c>
      <c r="D252" s="67" t="s">
        <v>1774</v>
      </c>
      <c r="E252" s="35" t="s">
        <v>1775</v>
      </c>
      <c r="F252" s="60"/>
      <c r="G252" s="60"/>
      <c r="H252" s="60"/>
      <c r="I252" s="60"/>
      <c r="J252" s="60"/>
      <c r="K252" s="58"/>
      <c r="L252" s="58"/>
      <c r="M252" s="58"/>
      <c r="N252" s="58"/>
      <c r="O252" s="58"/>
      <c r="P252" s="59" t="s">
        <v>11</v>
      </c>
      <c r="Q252" s="3"/>
      <c r="R252" s="3" t="s">
        <v>210</v>
      </c>
      <c r="S252" s="3" t="s">
        <v>1776</v>
      </c>
      <c r="Y252" s="85">
        <f t="shared" si="1"/>
        <v>1</v>
      </c>
    </row>
    <row r="253">
      <c r="A253" s="3">
        <v>16.0</v>
      </c>
      <c r="B253" s="3" t="s">
        <v>1777</v>
      </c>
      <c r="D253" s="67" t="s">
        <v>1778</v>
      </c>
      <c r="E253" s="45" t="s">
        <v>1779</v>
      </c>
      <c r="J253" s="3" t="s">
        <v>11</v>
      </c>
      <c r="Q253" s="3"/>
      <c r="R253" s="3" t="s">
        <v>185</v>
      </c>
      <c r="Y253" s="85">
        <f t="shared" si="1"/>
        <v>1</v>
      </c>
    </row>
    <row r="254">
      <c r="A254" s="3">
        <v>16.0</v>
      </c>
      <c r="B254" s="3" t="s">
        <v>1780</v>
      </c>
      <c r="D254" s="67" t="s">
        <v>1781</v>
      </c>
      <c r="E254" s="35" t="s">
        <v>1782</v>
      </c>
      <c r="F254" s="60"/>
      <c r="G254" s="61" t="s">
        <v>11</v>
      </c>
      <c r="H254" s="60"/>
      <c r="I254" s="60"/>
      <c r="J254" s="60"/>
      <c r="K254" s="58"/>
      <c r="L254" s="58"/>
      <c r="M254" s="58"/>
      <c r="N254" s="58"/>
      <c r="O254" s="58"/>
      <c r="P254" s="58"/>
      <c r="R254" s="3" t="s">
        <v>185</v>
      </c>
      <c r="Y254" s="85">
        <f t="shared" si="1"/>
        <v>1</v>
      </c>
    </row>
    <row r="255">
      <c r="A255" s="3">
        <v>16.0</v>
      </c>
      <c r="B255" s="3" t="s">
        <v>1783</v>
      </c>
      <c r="C255" s="3">
        <v>2000.0</v>
      </c>
      <c r="D255" s="67" t="s">
        <v>1784</v>
      </c>
      <c r="E255" s="45" t="s">
        <v>1785</v>
      </c>
      <c r="J255" s="3" t="s">
        <v>11</v>
      </c>
      <c r="Q255" s="3"/>
      <c r="R255" s="3" t="s">
        <v>185</v>
      </c>
      <c r="Y255" s="85">
        <f t="shared" si="1"/>
        <v>1</v>
      </c>
    </row>
    <row r="256">
      <c r="A256" s="3">
        <v>16.0</v>
      </c>
      <c r="B256" s="3" t="s">
        <v>1786</v>
      </c>
      <c r="C256" s="3">
        <v>1990.0</v>
      </c>
      <c r="D256" s="67" t="s">
        <v>1787</v>
      </c>
      <c r="E256" s="45" t="s">
        <v>1788</v>
      </c>
      <c r="J256" s="3" t="s">
        <v>11</v>
      </c>
      <c r="Q256" s="3"/>
      <c r="R256" s="3" t="s">
        <v>185</v>
      </c>
      <c r="Y256" s="85">
        <f t="shared" si="1"/>
        <v>1</v>
      </c>
    </row>
    <row r="257">
      <c r="A257" s="3">
        <v>16.0</v>
      </c>
      <c r="B257" s="3" t="s">
        <v>1789</v>
      </c>
      <c r="C257" s="3">
        <v>2005.0</v>
      </c>
      <c r="D257" s="67" t="s">
        <v>1790</v>
      </c>
      <c r="E257" s="45" t="s">
        <v>1791</v>
      </c>
      <c r="J257" s="3" t="s">
        <v>11</v>
      </c>
      <c r="Q257" s="3"/>
      <c r="R257" s="3" t="s">
        <v>185</v>
      </c>
      <c r="Y257" s="85">
        <f t="shared" si="1"/>
        <v>1</v>
      </c>
    </row>
    <row r="258">
      <c r="A258" s="3">
        <v>15.0</v>
      </c>
      <c r="B258" s="3" t="s">
        <v>1792</v>
      </c>
      <c r="C258" s="3">
        <v>2018.0</v>
      </c>
      <c r="D258" s="67" t="s">
        <v>1793</v>
      </c>
      <c r="E258" s="35" t="s">
        <v>1794</v>
      </c>
      <c r="F258" s="60"/>
      <c r="G258" s="61" t="s">
        <v>11</v>
      </c>
      <c r="H258" s="60"/>
      <c r="I258" s="60"/>
      <c r="J258" s="60"/>
      <c r="K258" s="58"/>
      <c r="L258" s="58"/>
      <c r="M258" s="58"/>
      <c r="N258" s="58"/>
      <c r="O258" s="58"/>
      <c r="P258" s="58"/>
      <c r="R258" s="3" t="s">
        <v>185</v>
      </c>
      <c r="Y258" s="85">
        <f t="shared" si="1"/>
        <v>1</v>
      </c>
    </row>
    <row r="259">
      <c r="A259" s="3">
        <v>15.0</v>
      </c>
      <c r="B259" s="3" t="s">
        <v>1795</v>
      </c>
      <c r="D259" s="67" t="s">
        <v>1796</v>
      </c>
      <c r="E259" s="35" t="s">
        <v>1797</v>
      </c>
      <c r="F259" s="60"/>
      <c r="G259" s="61" t="s">
        <v>11</v>
      </c>
      <c r="H259" s="60"/>
      <c r="I259" s="60"/>
      <c r="J259" s="60"/>
      <c r="K259" s="58"/>
      <c r="L259" s="58"/>
      <c r="M259" s="58"/>
      <c r="N259" s="58"/>
      <c r="O259" s="58"/>
      <c r="P259" s="58"/>
      <c r="R259" s="3" t="s">
        <v>185</v>
      </c>
      <c r="Y259" s="85">
        <f t="shared" si="1"/>
        <v>1</v>
      </c>
    </row>
    <row r="260">
      <c r="A260" s="3">
        <v>15.0</v>
      </c>
      <c r="B260" s="3" t="s">
        <v>1798</v>
      </c>
      <c r="D260" s="3" t="s">
        <v>1799</v>
      </c>
      <c r="E260" s="35" t="s">
        <v>1800</v>
      </c>
      <c r="F260" s="60"/>
      <c r="G260" s="60"/>
      <c r="H260" s="60"/>
      <c r="I260" s="60"/>
      <c r="J260" s="60"/>
      <c r="K260" s="58"/>
      <c r="L260" s="58"/>
      <c r="M260" s="58"/>
      <c r="N260" s="59" t="s">
        <v>11</v>
      </c>
      <c r="O260" s="58"/>
      <c r="P260" s="58"/>
      <c r="R260" s="3" t="s">
        <v>185</v>
      </c>
      <c r="Y260" s="85">
        <f t="shared" si="1"/>
        <v>1</v>
      </c>
    </row>
    <row r="261">
      <c r="A261" s="3">
        <v>15.0</v>
      </c>
      <c r="B261" s="3" t="s">
        <v>1801</v>
      </c>
      <c r="C261" s="3">
        <v>2017.0</v>
      </c>
      <c r="D261" s="3" t="s">
        <v>1802</v>
      </c>
      <c r="E261" s="36" t="s">
        <v>1803</v>
      </c>
      <c r="F261" s="60"/>
      <c r="G261" s="61" t="s">
        <v>11</v>
      </c>
      <c r="H261" s="60"/>
      <c r="I261" s="60"/>
      <c r="J261" s="60"/>
      <c r="K261" s="58"/>
      <c r="L261" s="58"/>
      <c r="M261" s="58"/>
      <c r="N261" s="58"/>
      <c r="O261" s="58"/>
      <c r="P261" s="58"/>
      <c r="R261" s="3" t="s">
        <v>185</v>
      </c>
      <c r="Y261" s="85">
        <f t="shared" si="1"/>
        <v>1</v>
      </c>
    </row>
    <row r="262">
      <c r="A262" s="3">
        <v>15.0</v>
      </c>
      <c r="B262" s="3" t="s">
        <v>1804</v>
      </c>
      <c r="C262" s="3">
        <v>2017.0</v>
      </c>
      <c r="D262" s="3" t="s">
        <v>1805</v>
      </c>
      <c r="E262" s="36" t="s">
        <v>1806</v>
      </c>
      <c r="F262" s="61" t="s">
        <v>11</v>
      </c>
      <c r="G262" s="60"/>
      <c r="H262" s="60"/>
      <c r="I262" s="60"/>
      <c r="J262" s="60"/>
      <c r="K262" s="58"/>
      <c r="L262" s="58"/>
      <c r="M262" s="58"/>
      <c r="N262" s="58"/>
      <c r="O262" s="58"/>
      <c r="P262" s="58"/>
      <c r="R262" s="3" t="s">
        <v>185</v>
      </c>
      <c r="Y262" s="85">
        <f t="shared" si="1"/>
        <v>1</v>
      </c>
    </row>
    <row r="263">
      <c r="A263" s="3">
        <v>15.0</v>
      </c>
      <c r="B263" s="3" t="s">
        <v>1807</v>
      </c>
      <c r="C263" s="3">
        <v>2015.0</v>
      </c>
      <c r="D263" s="3" t="s">
        <v>1808</v>
      </c>
      <c r="E263" s="36" t="s">
        <v>1809</v>
      </c>
      <c r="F263" s="60"/>
      <c r="G263" s="61" t="s">
        <v>11</v>
      </c>
      <c r="H263" s="60"/>
      <c r="I263" s="60"/>
      <c r="J263" s="60"/>
      <c r="K263" s="58"/>
      <c r="L263" s="58"/>
      <c r="M263" s="58"/>
      <c r="N263" s="58"/>
      <c r="O263" s="58"/>
      <c r="P263" s="58"/>
      <c r="R263" s="3" t="s">
        <v>185</v>
      </c>
      <c r="Y263" s="85">
        <f t="shared" si="1"/>
        <v>1</v>
      </c>
    </row>
    <row r="264">
      <c r="A264" s="3">
        <v>15.0</v>
      </c>
      <c r="B264" s="3" t="s">
        <v>1810</v>
      </c>
      <c r="D264" s="67" t="s">
        <v>1811</v>
      </c>
      <c r="E264" s="35" t="s">
        <v>1812</v>
      </c>
      <c r="F264" s="60"/>
      <c r="G264" s="60"/>
      <c r="H264" s="60"/>
      <c r="I264" s="60"/>
      <c r="J264" s="60"/>
      <c r="K264" s="58"/>
      <c r="L264" s="58"/>
      <c r="M264" s="58"/>
      <c r="N264" s="59" t="s">
        <v>11</v>
      </c>
      <c r="O264" s="58"/>
      <c r="P264" s="58"/>
      <c r="R264" s="3" t="s">
        <v>185</v>
      </c>
      <c r="Y264" s="85">
        <f t="shared" si="1"/>
        <v>1</v>
      </c>
    </row>
    <row r="265">
      <c r="A265" s="3">
        <v>15.0</v>
      </c>
      <c r="B265" s="3" t="s">
        <v>1813</v>
      </c>
      <c r="D265" s="67" t="s">
        <v>1814</v>
      </c>
      <c r="E265" s="35" t="s">
        <v>1815</v>
      </c>
      <c r="F265" s="61" t="s">
        <v>11</v>
      </c>
      <c r="G265" s="61" t="s">
        <v>11</v>
      </c>
      <c r="H265" s="60"/>
      <c r="I265" s="60"/>
      <c r="J265" s="60"/>
      <c r="K265" s="58"/>
      <c r="L265" s="58"/>
      <c r="M265" s="58"/>
      <c r="N265" s="58"/>
      <c r="O265" s="58"/>
      <c r="P265" s="58"/>
      <c r="R265" s="3" t="s">
        <v>185</v>
      </c>
      <c r="Y265" s="85">
        <f t="shared" si="1"/>
        <v>1</v>
      </c>
    </row>
    <row r="266">
      <c r="A266" s="3">
        <v>15.0</v>
      </c>
      <c r="B266" s="3" t="s">
        <v>1816</v>
      </c>
      <c r="D266" s="67" t="s">
        <v>1817</v>
      </c>
      <c r="E266" s="35" t="s">
        <v>1818</v>
      </c>
      <c r="F266" s="61" t="s">
        <v>11</v>
      </c>
      <c r="G266" s="61"/>
      <c r="H266" s="60"/>
      <c r="I266" s="60"/>
      <c r="J266" s="60"/>
      <c r="K266" s="58"/>
      <c r="L266" s="58"/>
      <c r="M266" s="58"/>
      <c r="N266" s="58"/>
      <c r="O266" s="58"/>
      <c r="P266" s="58"/>
      <c r="R266" s="3" t="s">
        <v>185</v>
      </c>
      <c r="Y266" s="85">
        <f t="shared" si="1"/>
        <v>1</v>
      </c>
    </row>
    <row r="267">
      <c r="A267" s="3">
        <v>15.0</v>
      </c>
      <c r="B267" s="3" t="s">
        <v>1819</v>
      </c>
      <c r="C267" s="3">
        <v>2016.0</v>
      </c>
      <c r="D267" s="3" t="s">
        <v>1820</v>
      </c>
      <c r="E267" s="36" t="s">
        <v>1821</v>
      </c>
      <c r="F267" s="61" t="s">
        <v>11</v>
      </c>
      <c r="G267" s="60"/>
      <c r="H267" s="60"/>
      <c r="I267" s="60"/>
      <c r="J267" s="60"/>
      <c r="K267" s="58"/>
      <c r="L267" s="58"/>
      <c r="M267" s="58"/>
      <c r="N267" s="58"/>
      <c r="O267" s="58"/>
      <c r="P267" s="58"/>
      <c r="R267" s="3" t="s">
        <v>185</v>
      </c>
      <c r="Y267" s="85">
        <f t="shared" si="1"/>
        <v>1</v>
      </c>
    </row>
    <row r="268">
      <c r="A268" s="3">
        <v>15.0</v>
      </c>
      <c r="B268" s="3" t="s">
        <v>1822</v>
      </c>
      <c r="C268" s="3">
        <v>2003.0</v>
      </c>
      <c r="D268" s="67" t="s">
        <v>1823</v>
      </c>
      <c r="E268" s="45" t="s">
        <v>1824</v>
      </c>
      <c r="J268" s="3" t="s">
        <v>11</v>
      </c>
      <c r="Q268" s="3"/>
      <c r="R268" s="3" t="s">
        <v>185</v>
      </c>
      <c r="Y268" s="85">
        <f t="shared" si="1"/>
        <v>1</v>
      </c>
    </row>
    <row r="269">
      <c r="A269" s="3">
        <v>15.0</v>
      </c>
      <c r="B269" s="46" t="s">
        <v>1825</v>
      </c>
      <c r="D269" s="46" t="s">
        <v>1826</v>
      </c>
      <c r="E269" s="84" t="s">
        <v>1827</v>
      </c>
      <c r="F269" s="61" t="s">
        <v>11</v>
      </c>
      <c r="G269" s="114" t="s">
        <v>11</v>
      </c>
      <c r="H269" s="111"/>
      <c r="I269" s="111"/>
      <c r="J269" s="111"/>
      <c r="K269" s="112"/>
      <c r="L269" s="112"/>
      <c r="M269" s="112"/>
      <c r="N269" s="112"/>
      <c r="O269" s="112"/>
      <c r="P269" s="112"/>
      <c r="Q269" s="113"/>
      <c r="R269" s="3" t="s">
        <v>185</v>
      </c>
      <c r="S269" s="113"/>
      <c r="T269" s="113"/>
      <c r="U269" s="113"/>
      <c r="V269" s="113"/>
      <c r="W269" s="113"/>
      <c r="X269" s="113"/>
      <c r="Y269" s="85">
        <f t="shared" si="1"/>
        <v>1</v>
      </c>
    </row>
    <row r="270">
      <c r="A270" s="3">
        <v>15.0</v>
      </c>
      <c r="B270" s="3" t="s">
        <v>1828</v>
      </c>
      <c r="D270" s="67" t="s">
        <v>1829</v>
      </c>
      <c r="E270" s="36" t="s">
        <v>1830</v>
      </c>
      <c r="F270" s="61" t="s">
        <v>11</v>
      </c>
      <c r="G270" s="60"/>
      <c r="H270" s="60"/>
      <c r="I270" s="60"/>
      <c r="J270" s="60"/>
      <c r="K270" s="58"/>
      <c r="L270" s="58"/>
      <c r="M270" s="58"/>
      <c r="N270" s="58"/>
      <c r="O270" s="58"/>
      <c r="P270" s="58"/>
      <c r="R270" s="3" t="s">
        <v>185</v>
      </c>
      <c r="Y270" s="85">
        <f t="shared" si="1"/>
        <v>1</v>
      </c>
    </row>
    <row r="271">
      <c r="A271" s="3">
        <v>15.0</v>
      </c>
      <c r="B271" s="67" t="s">
        <v>1831</v>
      </c>
      <c r="C271" s="3">
        <v>2000.0</v>
      </c>
      <c r="D271" s="3" t="s">
        <v>1832</v>
      </c>
      <c r="E271" s="68" t="s">
        <v>1833</v>
      </c>
      <c r="J271" s="3" t="s">
        <v>11</v>
      </c>
      <c r="Q271" s="3"/>
      <c r="R271" s="3" t="s">
        <v>185</v>
      </c>
      <c r="Y271" s="85">
        <f t="shared" si="1"/>
        <v>1</v>
      </c>
    </row>
    <row r="272">
      <c r="A272" s="3">
        <v>15.0</v>
      </c>
      <c r="B272" s="67" t="s">
        <v>1834</v>
      </c>
      <c r="C272" s="3">
        <v>2018.0</v>
      </c>
      <c r="D272" s="3" t="s">
        <v>1835</v>
      </c>
      <c r="E272" s="36" t="s">
        <v>1836</v>
      </c>
      <c r="F272" s="61"/>
      <c r="G272" s="61" t="s">
        <v>11</v>
      </c>
      <c r="H272" s="60"/>
      <c r="I272" s="60"/>
      <c r="J272" s="60"/>
      <c r="K272" s="58"/>
      <c r="L272" s="58"/>
      <c r="M272" s="58"/>
      <c r="N272" s="58"/>
      <c r="O272" s="58"/>
      <c r="P272" s="58"/>
      <c r="R272" s="3" t="s">
        <v>185</v>
      </c>
      <c r="Y272" s="85">
        <f t="shared" si="1"/>
        <v>1</v>
      </c>
    </row>
    <row r="273">
      <c r="A273" s="3">
        <v>15.0</v>
      </c>
      <c r="B273" s="67" t="s">
        <v>1837</v>
      </c>
      <c r="C273" s="3">
        <v>2013.0</v>
      </c>
      <c r="D273" s="3" t="s">
        <v>1838</v>
      </c>
      <c r="E273" s="36" t="s">
        <v>1839</v>
      </c>
      <c r="F273" s="61" t="s">
        <v>11</v>
      </c>
      <c r="G273" s="61" t="s">
        <v>11</v>
      </c>
      <c r="H273" s="61" t="s">
        <v>11</v>
      </c>
      <c r="I273" s="60"/>
      <c r="J273" s="60"/>
      <c r="K273" s="58"/>
      <c r="L273" s="58"/>
      <c r="M273" s="58"/>
      <c r="N273" s="58"/>
      <c r="O273" s="58"/>
      <c r="P273" s="58"/>
      <c r="R273" s="3" t="s">
        <v>185</v>
      </c>
      <c r="S273" s="3" t="s">
        <v>1840</v>
      </c>
      <c r="Y273" s="85">
        <f t="shared" si="1"/>
        <v>1</v>
      </c>
    </row>
    <row r="274">
      <c r="A274" s="3">
        <v>15.0</v>
      </c>
      <c r="B274" s="67" t="s">
        <v>1841</v>
      </c>
      <c r="C274" s="3">
        <v>2017.0</v>
      </c>
      <c r="D274" s="3" t="s">
        <v>1842</v>
      </c>
      <c r="E274" s="36" t="s">
        <v>1843</v>
      </c>
      <c r="F274" s="60"/>
      <c r="G274" s="60"/>
      <c r="H274" s="60"/>
      <c r="I274" s="60"/>
      <c r="J274" s="60"/>
      <c r="K274" s="58"/>
      <c r="L274" s="58"/>
      <c r="M274" s="58"/>
      <c r="N274" s="59" t="s">
        <v>11</v>
      </c>
      <c r="O274" s="58"/>
      <c r="P274" s="58"/>
      <c r="R274" s="3" t="s">
        <v>185</v>
      </c>
      <c r="Y274" s="85">
        <f t="shared" si="1"/>
        <v>1</v>
      </c>
    </row>
    <row r="275">
      <c r="A275" s="3">
        <v>15.0</v>
      </c>
      <c r="B275" s="3" t="s">
        <v>1844</v>
      </c>
      <c r="C275" s="3">
        <v>2018.0</v>
      </c>
      <c r="D275" s="3" t="s">
        <v>1845</v>
      </c>
      <c r="E275" s="36" t="s">
        <v>1846</v>
      </c>
      <c r="F275" s="60"/>
      <c r="G275" s="61" t="s">
        <v>11</v>
      </c>
      <c r="H275" s="60"/>
      <c r="I275" s="60"/>
      <c r="J275" s="60"/>
      <c r="K275" s="58"/>
      <c r="L275" s="58"/>
      <c r="M275" s="58"/>
      <c r="N275" s="58"/>
      <c r="O275" s="58"/>
      <c r="P275" s="58"/>
      <c r="R275" s="3" t="s">
        <v>185</v>
      </c>
      <c r="Y275" s="85">
        <f t="shared" si="1"/>
        <v>1</v>
      </c>
    </row>
    <row r="276">
      <c r="A276" s="3">
        <v>15.0</v>
      </c>
      <c r="B276" s="67" t="s">
        <v>1847</v>
      </c>
      <c r="C276" s="3">
        <v>2017.0</v>
      </c>
      <c r="D276" s="3" t="s">
        <v>1848</v>
      </c>
      <c r="E276" s="36" t="s">
        <v>1849</v>
      </c>
      <c r="F276" s="60"/>
      <c r="G276" s="61" t="s">
        <v>11</v>
      </c>
      <c r="H276" s="61" t="s">
        <v>11</v>
      </c>
      <c r="I276" s="60"/>
      <c r="J276" s="60"/>
      <c r="K276" s="58"/>
      <c r="L276" s="58"/>
      <c r="M276" s="58"/>
      <c r="N276" s="58"/>
      <c r="O276" s="58"/>
      <c r="P276" s="58"/>
      <c r="R276" s="3" t="s">
        <v>185</v>
      </c>
      <c r="Y276" s="85">
        <f t="shared" si="1"/>
        <v>1</v>
      </c>
    </row>
    <row r="277">
      <c r="A277" s="3">
        <v>15.0</v>
      </c>
      <c r="B277" s="67" t="s">
        <v>1850</v>
      </c>
      <c r="C277" s="3">
        <v>2018.0</v>
      </c>
      <c r="D277" s="3" t="s">
        <v>1851</v>
      </c>
      <c r="E277" s="36" t="s">
        <v>1852</v>
      </c>
      <c r="F277" s="60"/>
      <c r="G277" s="61" t="s">
        <v>324</v>
      </c>
      <c r="H277" s="61" t="s">
        <v>324</v>
      </c>
      <c r="I277" s="60"/>
      <c r="J277" s="60"/>
      <c r="K277" s="59" t="s">
        <v>11</v>
      </c>
      <c r="L277" s="58"/>
      <c r="M277" s="58"/>
      <c r="N277" s="58"/>
      <c r="O277" s="58"/>
      <c r="P277" s="58"/>
      <c r="R277" s="3" t="s">
        <v>185</v>
      </c>
      <c r="Y277" s="85">
        <f t="shared" si="1"/>
        <v>1</v>
      </c>
    </row>
    <row r="278">
      <c r="A278" s="3">
        <v>15.0</v>
      </c>
      <c r="B278" s="3" t="s">
        <v>1853</v>
      </c>
      <c r="C278" s="3">
        <v>2009.0</v>
      </c>
      <c r="D278" s="67" t="s">
        <v>1854</v>
      </c>
      <c r="E278" s="45" t="s">
        <v>1855</v>
      </c>
      <c r="J278" s="3" t="s">
        <v>11</v>
      </c>
      <c r="Q278" s="3"/>
      <c r="R278" s="3" t="s">
        <v>185</v>
      </c>
      <c r="Y278" s="85">
        <f t="shared" si="1"/>
        <v>1</v>
      </c>
    </row>
    <row r="279">
      <c r="A279" s="3">
        <v>15.0</v>
      </c>
      <c r="B279" s="3" t="s">
        <v>1856</v>
      </c>
      <c r="C279" s="3">
        <v>2014.0</v>
      </c>
      <c r="D279" s="67" t="s">
        <v>1857</v>
      </c>
      <c r="E279" s="35" t="s">
        <v>1858</v>
      </c>
      <c r="F279" s="61" t="s">
        <v>11</v>
      </c>
      <c r="G279" s="60"/>
      <c r="H279" s="60"/>
      <c r="I279" s="60"/>
      <c r="J279" s="60"/>
      <c r="K279" s="58"/>
      <c r="L279" s="58"/>
      <c r="M279" s="58"/>
      <c r="N279" s="58"/>
      <c r="O279" s="58"/>
      <c r="P279" s="58"/>
      <c r="R279" s="3" t="s">
        <v>185</v>
      </c>
      <c r="Y279" s="85">
        <f t="shared" si="1"/>
        <v>1</v>
      </c>
    </row>
    <row r="280">
      <c r="A280" s="3">
        <v>15.0</v>
      </c>
      <c r="B280" s="67" t="s">
        <v>1859</v>
      </c>
      <c r="C280" s="3">
        <v>2014.0</v>
      </c>
      <c r="D280" s="3" t="s">
        <v>1860</v>
      </c>
      <c r="E280" s="35" t="s">
        <v>1861</v>
      </c>
      <c r="F280" s="60"/>
      <c r="G280" s="60"/>
      <c r="H280" s="60"/>
      <c r="I280" s="60"/>
      <c r="J280" s="60"/>
      <c r="K280" s="58"/>
      <c r="L280" s="58"/>
      <c r="M280" s="58"/>
      <c r="N280" s="59" t="s">
        <v>11</v>
      </c>
      <c r="O280" s="58"/>
      <c r="P280" s="58"/>
      <c r="R280" s="3" t="s">
        <v>185</v>
      </c>
      <c r="Y280" s="85">
        <f t="shared" si="1"/>
        <v>1</v>
      </c>
    </row>
    <row r="281">
      <c r="A281" s="3">
        <v>15.0</v>
      </c>
      <c r="B281" s="67" t="s">
        <v>1862</v>
      </c>
      <c r="C281" s="3">
        <v>2017.0</v>
      </c>
      <c r="D281" s="3" t="s">
        <v>1863</v>
      </c>
      <c r="E281" s="35" t="s">
        <v>1864</v>
      </c>
      <c r="F281" s="60"/>
      <c r="G281" s="60"/>
      <c r="H281" s="61" t="s">
        <v>11</v>
      </c>
      <c r="I281" s="60"/>
      <c r="J281" s="60"/>
      <c r="K281" s="58"/>
      <c r="L281" s="58"/>
      <c r="M281" s="58"/>
      <c r="N281" s="58"/>
      <c r="O281" s="58"/>
      <c r="P281" s="58"/>
      <c r="R281" s="3" t="s">
        <v>185</v>
      </c>
      <c r="Y281" s="85">
        <f t="shared" si="1"/>
        <v>1</v>
      </c>
    </row>
    <row r="282">
      <c r="A282" s="3">
        <v>15.0</v>
      </c>
      <c r="B282" s="67" t="s">
        <v>1865</v>
      </c>
      <c r="C282" s="3">
        <v>2017.0</v>
      </c>
      <c r="D282" s="3" t="s">
        <v>1866</v>
      </c>
      <c r="E282" s="35" t="s">
        <v>1867</v>
      </c>
      <c r="F282" s="60"/>
      <c r="G282" s="61" t="s">
        <v>11</v>
      </c>
      <c r="H282" s="60"/>
      <c r="I282" s="60"/>
      <c r="J282" s="60"/>
      <c r="K282" s="58"/>
      <c r="L282" s="58"/>
      <c r="M282" s="58"/>
      <c r="N282" s="58"/>
      <c r="O282" s="58"/>
      <c r="P282" s="58"/>
      <c r="R282" s="3" t="s">
        <v>185</v>
      </c>
      <c r="Y282" s="85">
        <f t="shared" si="1"/>
        <v>1</v>
      </c>
    </row>
    <row r="283">
      <c r="A283" s="3">
        <v>15.0</v>
      </c>
      <c r="B283" s="67" t="s">
        <v>1868</v>
      </c>
      <c r="D283" s="3" t="s">
        <v>1869</v>
      </c>
      <c r="E283" s="35" t="s">
        <v>1870</v>
      </c>
      <c r="F283" s="60"/>
      <c r="G283" s="61" t="s">
        <v>11</v>
      </c>
      <c r="H283" s="61" t="s">
        <v>11</v>
      </c>
      <c r="I283" s="60"/>
      <c r="J283" s="60"/>
      <c r="K283" s="58"/>
      <c r="L283" s="58"/>
      <c r="M283" s="58"/>
      <c r="N283" s="58"/>
      <c r="O283" s="58"/>
      <c r="P283" s="58"/>
      <c r="R283" s="3" t="s">
        <v>185</v>
      </c>
      <c r="Y283" s="85">
        <f t="shared" si="1"/>
        <v>1</v>
      </c>
    </row>
    <row r="284">
      <c r="A284" s="3">
        <v>15.0</v>
      </c>
      <c r="B284" s="67" t="s">
        <v>1871</v>
      </c>
      <c r="C284" s="3">
        <v>2010.0</v>
      </c>
      <c r="D284" s="3" t="s">
        <v>1872</v>
      </c>
      <c r="E284" s="45" t="s">
        <v>1873</v>
      </c>
      <c r="J284" s="3" t="s">
        <v>11</v>
      </c>
      <c r="Q284" s="3"/>
      <c r="R284" s="3" t="s">
        <v>185</v>
      </c>
      <c r="Y284" s="85">
        <f t="shared" si="1"/>
        <v>1</v>
      </c>
    </row>
    <row r="285">
      <c r="A285" s="3">
        <v>15.0</v>
      </c>
      <c r="B285" s="67" t="s">
        <v>1874</v>
      </c>
      <c r="C285" s="3">
        <v>2010.0</v>
      </c>
      <c r="D285" s="3" t="s">
        <v>1875</v>
      </c>
      <c r="E285" s="45" t="s">
        <v>1876</v>
      </c>
      <c r="J285" s="3" t="s">
        <v>11</v>
      </c>
      <c r="Q285" s="3"/>
      <c r="R285" s="3" t="s">
        <v>185</v>
      </c>
      <c r="Y285" s="85">
        <f t="shared" si="1"/>
        <v>1</v>
      </c>
    </row>
    <row r="286">
      <c r="A286" s="3">
        <v>15.0</v>
      </c>
      <c r="B286" s="3" t="s">
        <v>1877</v>
      </c>
      <c r="C286" s="3">
        <v>2018.0</v>
      </c>
      <c r="D286" s="3" t="s">
        <v>1878</v>
      </c>
      <c r="E286" s="36" t="s">
        <v>1879</v>
      </c>
      <c r="F286" s="61" t="s">
        <v>11</v>
      </c>
      <c r="G286" s="60"/>
      <c r="H286" s="60"/>
      <c r="I286" s="60"/>
      <c r="J286" s="60"/>
      <c r="K286" s="58"/>
      <c r="L286" s="58"/>
      <c r="M286" s="58"/>
      <c r="N286" s="58"/>
      <c r="O286" s="58"/>
      <c r="P286" s="58"/>
      <c r="R286" s="3" t="s">
        <v>185</v>
      </c>
      <c r="S286" s="3" t="s">
        <v>1500</v>
      </c>
      <c r="Y286" s="85">
        <f t="shared" si="1"/>
        <v>1</v>
      </c>
    </row>
    <row r="287">
      <c r="A287" s="3">
        <v>15.0</v>
      </c>
      <c r="B287" s="3" t="s">
        <v>1880</v>
      </c>
      <c r="D287" s="67" t="s">
        <v>1881</v>
      </c>
      <c r="E287" s="35" t="s">
        <v>1882</v>
      </c>
      <c r="F287" s="61" t="s">
        <v>11</v>
      </c>
      <c r="G287" s="61" t="s">
        <v>11</v>
      </c>
      <c r="H287" s="61" t="s">
        <v>11</v>
      </c>
      <c r="I287" s="60"/>
      <c r="J287" s="60"/>
      <c r="K287" s="58"/>
      <c r="L287" s="58"/>
      <c r="M287" s="58"/>
      <c r="N287" s="59" t="s">
        <v>324</v>
      </c>
      <c r="O287" s="58"/>
      <c r="P287" s="58"/>
      <c r="R287" s="3" t="s">
        <v>185</v>
      </c>
      <c r="Y287" s="85">
        <f t="shared" si="1"/>
        <v>1</v>
      </c>
    </row>
    <row r="288">
      <c r="A288" s="3">
        <v>15.0</v>
      </c>
      <c r="B288" s="3" t="s">
        <v>1883</v>
      </c>
      <c r="D288" s="67" t="s">
        <v>1884</v>
      </c>
      <c r="E288" s="35" t="s">
        <v>1885</v>
      </c>
      <c r="F288" s="60"/>
      <c r="G288" s="60"/>
      <c r="H288" s="61" t="s">
        <v>11</v>
      </c>
      <c r="I288" s="60"/>
      <c r="J288" s="60"/>
      <c r="K288" s="58"/>
      <c r="L288" s="58"/>
      <c r="M288" s="58"/>
      <c r="N288" s="58"/>
      <c r="O288" s="58"/>
      <c r="P288" s="58"/>
      <c r="R288" s="3" t="s">
        <v>185</v>
      </c>
      <c r="S288" s="3" t="s">
        <v>1886</v>
      </c>
      <c r="Y288" s="85">
        <f t="shared" si="1"/>
        <v>1</v>
      </c>
    </row>
    <row r="289">
      <c r="A289" s="3">
        <v>15.0</v>
      </c>
      <c r="B289" s="3" t="s">
        <v>1887</v>
      </c>
      <c r="D289" s="67" t="s">
        <v>1888</v>
      </c>
      <c r="E289" s="35" t="s">
        <v>1889</v>
      </c>
      <c r="F289" s="60"/>
      <c r="G289" s="61" t="s">
        <v>11</v>
      </c>
      <c r="H289" s="61" t="s">
        <v>11</v>
      </c>
      <c r="I289" s="60"/>
      <c r="J289" s="60"/>
      <c r="K289" s="58"/>
      <c r="L289" s="58"/>
      <c r="M289" s="58"/>
      <c r="N289" s="58"/>
      <c r="O289" s="58"/>
      <c r="P289" s="58"/>
      <c r="R289" s="3" t="s">
        <v>185</v>
      </c>
      <c r="Y289" s="85">
        <f t="shared" si="1"/>
        <v>1</v>
      </c>
    </row>
    <row r="290">
      <c r="A290" s="3">
        <v>15.0</v>
      </c>
      <c r="B290" s="3" t="s">
        <v>1890</v>
      </c>
      <c r="D290" s="67" t="s">
        <v>1891</v>
      </c>
      <c r="E290" s="35" t="s">
        <v>1892</v>
      </c>
      <c r="F290" s="61" t="s">
        <v>11</v>
      </c>
      <c r="G290" s="61" t="s">
        <v>11</v>
      </c>
      <c r="H290" s="61" t="s">
        <v>11</v>
      </c>
      <c r="I290" s="60"/>
      <c r="J290" s="60"/>
      <c r="K290" s="58"/>
      <c r="L290" s="58"/>
      <c r="M290" s="58"/>
      <c r="N290" s="58"/>
      <c r="O290" s="58"/>
      <c r="P290" s="58"/>
      <c r="R290" s="3" t="s">
        <v>185</v>
      </c>
      <c r="Y290" s="85">
        <f t="shared" si="1"/>
        <v>1</v>
      </c>
    </row>
    <row r="291">
      <c r="A291" s="3">
        <v>15.0</v>
      </c>
      <c r="B291" s="67" t="s">
        <v>1893</v>
      </c>
      <c r="C291" s="3">
        <v>2016.0</v>
      </c>
      <c r="D291" s="3" t="s">
        <v>1894</v>
      </c>
      <c r="E291" s="35" t="s">
        <v>1895</v>
      </c>
      <c r="F291" s="61" t="s">
        <v>11</v>
      </c>
      <c r="G291" s="60"/>
      <c r="H291" s="60"/>
      <c r="I291" s="60"/>
      <c r="J291" s="60"/>
      <c r="K291" s="58"/>
      <c r="L291" s="58"/>
      <c r="M291" s="58"/>
      <c r="N291" s="58"/>
      <c r="O291" s="58"/>
      <c r="P291" s="58"/>
      <c r="R291" s="3" t="s">
        <v>185</v>
      </c>
      <c r="Y291" s="85">
        <f t="shared" si="1"/>
        <v>1</v>
      </c>
    </row>
    <row r="292">
      <c r="A292" s="3">
        <v>15.0</v>
      </c>
      <c r="B292" s="67" t="s">
        <v>1896</v>
      </c>
      <c r="C292" s="3">
        <v>2017.0</v>
      </c>
      <c r="D292" s="3" t="s">
        <v>1897</v>
      </c>
      <c r="E292" s="35" t="s">
        <v>1898</v>
      </c>
      <c r="F292" s="61" t="s">
        <v>11</v>
      </c>
      <c r="G292" s="60"/>
      <c r="H292" s="60"/>
      <c r="I292" s="60"/>
      <c r="J292" s="60"/>
      <c r="K292" s="58"/>
      <c r="L292" s="58"/>
      <c r="M292" s="58"/>
      <c r="N292" s="58"/>
      <c r="O292" s="58"/>
      <c r="P292" s="58"/>
      <c r="R292" s="3" t="s">
        <v>185</v>
      </c>
      <c r="Y292" s="85">
        <f t="shared" si="1"/>
        <v>1</v>
      </c>
    </row>
    <row r="293">
      <c r="A293" s="3">
        <v>15.0</v>
      </c>
      <c r="B293" s="3" t="s">
        <v>1899</v>
      </c>
      <c r="D293" s="67" t="s">
        <v>1900</v>
      </c>
      <c r="E293" s="35" t="s">
        <v>1901</v>
      </c>
      <c r="F293" s="61" t="s">
        <v>11</v>
      </c>
      <c r="G293" s="60"/>
      <c r="H293" s="60"/>
      <c r="I293" s="60"/>
      <c r="J293" s="60"/>
      <c r="K293" s="58"/>
      <c r="L293" s="58"/>
      <c r="M293" s="58"/>
      <c r="N293" s="58"/>
      <c r="O293" s="58"/>
      <c r="P293" s="58"/>
      <c r="R293" s="3" t="s">
        <v>185</v>
      </c>
      <c r="Y293" s="85">
        <f t="shared" si="1"/>
        <v>1</v>
      </c>
    </row>
    <row r="294">
      <c r="A294" s="3">
        <v>15.0</v>
      </c>
      <c r="B294" s="67" t="s">
        <v>1902</v>
      </c>
      <c r="C294" s="3">
        <v>2016.0</v>
      </c>
      <c r="D294" s="3" t="s">
        <v>1903</v>
      </c>
      <c r="E294" s="35" t="s">
        <v>1904</v>
      </c>
      <c r="F294" s="61" t="s">
        <v>11</v>
      </c>
      <c r="G294" s="60"/>
      <c r="H294" s="60"/>
      <c r="I294" s="60"/>
      <c r="J294" s="60"/>
      <c r="K294" s="58"/>
      <c r="L294" s="58"/>
      <c r="M294" s="58"/>
      <c r="N294" s="58"/>
      <c r="O294" s="58"/>
      <c r="P294" s="58"/>
      <c r="R294" s="3" t="s">
        <v>185</v>
      </c>
      <c r="Y294" s="85">
        <f t="shared" si="1"/>
        <v>1</v>
      </c>
    </row>
    <row r="295">
      <c r="A295" s="3">
        <v>36.0</v>
      </c>
      <c r="B295" s="3" t="s">
        <v>1905</v>
      </c>
      <c r="C295" s="3">
        <v>2019.0</v>
      </c>
      <c r="D295" s="3" t="s">
        <v>1906</v>
      </c>
      <c r="E295" s="36" t="s">
        <v>1907</v>
      </c>
      <c r="G295" s="3" t="s">
        <v>11</v>
      </c>
      <c r="R295" s="3" t="s">
        <v>185</v>
      </c>
      <c r="Y295" s="85">
        <f t="shared" si="1"/>
        <v>1</v>
      </c>
    </row>
    <row r="296">
      <c r="A296" s="3">
        <v>36.0</v>
      </c>
      <c r="B296" s="3" t="s">
        <v>1908</v>
      </c>
      <c r="C296" s="3">
        <v>2017.0</v>
      </c>
      <c r="D296" s="3" t="s">
        <v>1909</v>
      </c>
      <c r="E296" s="36" t="s">
        <v>1910</v>
      </c>
      <c r="I296" s="3" t="s">
        <v>11</v>
      </c>
      <c r="R296" s="3" t="s">
        <v>185</v>
      </c>
      <c r="Y296" s="85">
        <f t="shared" si="1"/>
        <v>1</v>
      </c>
    </row>
    <row r="297">
      <c r="A297" s="3">
        <v>36.0</v>
      </c>
      <c r="B297" s="3" t="s">
        <v>1911</v>
      </c>
      <c r="C297" s="3">
        <v>2018.0</v>
      </c>
      <c r="D297" s="3" t="s">
        <v>1912</v>
      </c>
      <c r="E297" s="36" t="s">
        <v>1913</v>
      </c>
      <c r="F297" s="3" t="s">
        <v>11</v>
      </c>
      <c r="R297" s="3" t="s">
        <v>185</v>
      </c>
      <c r="Y297" s="85">
        <f t="shared" si="1"/>
        <v>1</v>
      </c>
    </row>
    <row r="298">
      <c r="A298" s="3">
        <v>36.0</v>
      </c>
      <c r="B298" s="3" t="s">
        <v>1914</v>
      </c>
      <c r="C298" s="3">
        <v>2018.0</v>
      </c>
      <c r="D298" s="3" t="s">
        <v>1436</v>
      </c>
      <c r="E298" s="36" t="s">
        <v>1915</v>
      </c>
      <c r="R298" s="3" t="s">
        <v>185</v>
      </c>
      <c r="S298" s="3" t="s">
        <v>1035</v>
      </c>
      <c r="Y298" s="85">
        <f t="shared" si="1"/>
        <v>1</v>
      </c>
    </row>
    <row r="299">
      <c r="A299" s="3">
        <v>36.0</v>
      </c>
      <c r="B299" s="3" t="s">
        <v>1916</v>
      </c>
      <c r="C299" s="3">
        <v>2022.0</v>
      </c>
      <c r="D299" s="3" t="s">
        <v>1917</v>
      </c>
      <c r="E299" s="66" t="s">
        <v>1918</v>
      </c>
      <c r="F299" s="3" t="s">
        <v>11</v>
      </c>
      <c r="R299" s="3" t="s">
        <v>185</v>
      </c>
      <c r="S299" s="3" t="s">
        <v>1919</v>
      </c>
      <c r="Y299" s="85">
        <f t="shared" si="1"/>
        <v>1</v>
      </c>
    </row>
    <row r="300">
      <c r="A300" s="3">
        <v>36.0</v>
      </c>
      <c r="B300" s="3" t="s">
        <v>1920</v>
      </c>
      <c r="C300" s="3">
        <v>2021.0</v>
      </c>
      <c r="D300" s="3" t="s">
        <v>1921</v>
      </c>
      <c r="E300" s="36" t="s">
        <v>1922</v>
      </c>
      <c r="H300" s="3" t="s">
        <v>11</v>
      </c>
      <c r="R300" s="3" t="s">
        <v>185</v>
      </c>
      <c r="S300" s="3" t="s">
        <v>1923</v>
      </c>
      <c r="Y300" s="85">
        <f t="shared" si="1"/>
        <v>1</v>
      </c>
    </row>
    <row r="301">
      <c r="A301" s="3">
        <v>36.0</v>
      </c>
      <c r="B301" s="3" t="s">
        <v>1924</v>
      </c>
      <c r="C301" s="3">
        <v>2021.0</v>
      </c>
      <c r="D301" s="3" t="s">
        <v>1925</v>
      </c>
      <c r="E301" s="36" t="s">
        <v>1926</v>
      </c>
      <c r="G301" s="3" t="s">
        <v>11</v>
      </c>
      <c r="R301" s="3" t="s">
        <v>185</v>
      </c>
      <c r="S301" s="3" t="s">
        <v>1927</v>
      </c>
      <c r="Y301" s="85">
        <f t="shared" si="1"/>
        <v>1</v>
      </c>
    </row>
    <row r="302">
      <c r="A302" s="3">
        <v>36.0</v>
      </c>
      <c r="B302" s="3" t="s">
        <v>1928</v>
      </c>
      <c r="C302" s="3">
        <v>2018.0</v>
      </c>
      <c r="D302" s="3" t="s">
        <v>1929</v>
      </c>
      <c r="E302" s="36" t="s">
        <v>1930</v>
      </c>
      <c r="F302" s="3" t="s">
        <v>11</v>
      </c>
      <c r="R302" s="3" t="s">
        <v>185</v>
      </c>
      <c r="Y302" s="85">
        <f t="shared" si="1"/>
        <v>1</v>
      </c>
    </row>
    <row r="303">
      <c r="A303" s="3">
        <v>36.0</v>
      </c>
      <c r="B303" s="3" t="s">
        <v>1931</v>
      </c>
      <c r="C303" s="3">
        <v>2008.0</v>
      </c>
      <c r="D303" s="3" t="s">
        <v>1932</v>
      </c>
      <c r="E303" s="36" t="s">
        <v>1933</v>
      </c>
      <c r="J303" s="3" t="s">
        <v>11</v>
      </c>
      <c r="R303" s="3" t="s">
        <v>185</v>
      </c>
      <c r="Y303" s="85">
        <f t="shared" si="1"/>
        <v>1</v>
      </c>
    </row>
    <row r="304">
      <c r="A304" s="3">
        <v>36.0</v>
      </c>
      <c r="B304" s="3" t="s">
        <v>1934</v>
      </c>
      <c r="C304" s="3">
        <v>2022.0</v>
      </c>
      <c r="D304" s="3" t="s">
        <v>1436</v>
      </c>
      <c r="E304" s="36" t="s">
        <v>1935</v>
      </c>
      <c r="R304" s="3" t="s">
        <v>185</v>
      </c>
      <c r="S304" s="3" t="s">
        <v>1035</v>
      </c>
      <c r="Y304" s="85">
        <f t="shared" si="1"/>
        <v>1</v>
      </c>
    </row>
    <row r="305">
      <c r="A305" s="3">
        <v>36.0</v>
      </c>
      <c r="B305" s="3" t="s">
        <v>1936</v>
      </c>
      <c r="C305" s="3">
        <v>2022.0</v>
      </c>
      <c r="D305" s="3" t="s">
        <v>1436</v>
      </c>
      <c r="E305" s="36" t="s">
        <v>1937</v>
      </c>
      <c r="R305" s="3" t="s">
        <v>185</v>
      </c>
      <c r="S305" s="3" t="s">
        <v>1035</v>
      </c>
      <c r="Y305" s="85">
        <f t="shared" si="1"/>
        <v>1</v>
      </c>
    </row>
    <row r="306">
      <c r="A306" s="3">
        <v>38.0</v>
      </c>
      <c r="B306" s="67" t="s">
        <v>1938</v>
      </c>
      <c r="C306" s="3">
        <v>2012.0</v>
      </c>
      <c r="D306" s="67" t="s">
        <v>1939</v>
      </c>
      <c r="E306" s="115"/>
      <c r="F306" s="61"/>
      <c r="G306" s="60"/>
      <c r="H306" s="60"/>
      <c r="I306" s="61" t="s">
        <v>11</v>
      </c>
      <c r="J306" s="60"/>
      <c r="K306" s="58"/>
      <c r="L306" s="58"/>
      <c r="M306" s="58"/>
      <c r="N306" s="58"/>
      <c r="O306" s="58"/>
      <c r="P306" s="58"/>
      <c r="R306" s="3" t="s">
        <v>185</v>
      </c>
    </row>
    <row r="307">
      <c r="A307" s="3">
        <v>38.0</v>
      </c>
      <c r="B307" s="67" t="s">
        <v>1940</v>
      </c>
      <c r="C307" s="3">
        <v>2009.0</v>
      </c>
      <c r="D307" s="67" t="s">
        <v>1941</v>
      </c>
      <c r="E307" s="115"/>
      <c r="F307" s="61"/>
      <c r="G307" s="60"/>
      <c r="H307" s="60"/>
      <c r="I307" s="60"/>
      <c r="J307" s="61" t="s">
        <v>11</v>
      </c>
      <c r="K307" s="58"/>
      <c r="L307" s="58"/>
      <c r="M307" s="58"/>
      <c r="N307" s="58"/>
      <c r="O307" s="58"/>
      <c r="P307" s="58"/>
      <c r="R307" s="3" t="s">
        <v>185</v>
      </c>
    </row>
    <row r="308">
      <c r="A308" s="3">
        <v>38.0</v>
      </c>
      <c r="B308" s="67" t="s">
        <v>1942</v>
      </c>
      <c r="C308" s="3">
        <v>1987.0</v>
      </c>
      <c r="D308" s="67" t="s">
        <v>1943</v>
      </c>
      <c r="E308" s="115"/>
      <c r="F308" s="61"/>
      <c r="G308" s="60"/>
      <c r="H308" s="60"/>
      <c r="I308" s="60"/>
      <c r="J308" s="61" t="s">
        <v>11</v>
      </c>
      <c r="K308" s="58"/>
      <c r="L308" s="58"/>
      <c r="M308" s="58"/>
      <c r="N308" s="58"/>
      <c r="O308" s="58"/>
      <c r="P308" s="58"/>
      <c r="R308" s="3" t="s">
        <v>185</v>
      </c>
    </row>
    <row r="309">
      <c r="A309" s="3">
        <v>38.0</v>
      </c>
      <c r="B309" s="67" t="s">
        <v>1944</v>
      </c>
      <c r="C309" s="3">
        <v>2009.0</v>
      </c>
      <c r="D309" s="67" t="s">
        <v>1945</v>
      </c>
      <c r="E309" s="115"/>
      <c r="F309" s="61"/>
      <c r="G309" s="60"/>
      <c r="H309" s="60"/>
      <c r="I309" s="60"/>
      <c r="J309" s="61" t="s">
        <v>11</v>
      </c>
      <c r="K309" s="58"/>
      <c r="L309" s="58"/>
      <c r="M309" s="58"/>
      <c r="N309" s="58"/>
      <c r="O309" s="58"/>
      <c r="P309" s="58"/>
      <c r="R309" s="3" t="s">
        <v>185</v>
      </c>
    </row>
    <row r="310">
      <c r="A310" s="3" t="s">
        <v>1946</v>
      </c>
      <c r="B310" s="67" t="s">
        <v>1947</v>
      </c>
      <c r="C310" s="3">
        <v>2004.0</v>
      </c>
      <c r="D310" s="67" t="s">
        <v>1948</v>
      </c>
      <c r="E310" s="115"/>
      <c r="F310" s="61"/>
      <c r="G310" s="60"/>
      <c r="H310" s="60"/>
      <c r="I310" s="60"/>
      <c r="J310" s="61" t="s">
        <v>11</v>
      </c>
      <c r="K310" s="58"/>
      <c r="L310" s="58"/>
      <c r="M310" s="58"/>
      <c r="N310" s="58"/>
      <c r="O310" s="58"/>
      <c r="P310" s="58"/>
      <c r="R310" s="3" t="s">
        <v>185</v>
      </c>
    </row>
    <row r="311">
      <c r="A311" s="3" t="s">
        <v>1946</v>
      </c>
      <c r="B311" s="67" t="s">
        <v>1949</v>
      </c>
      <c r="C311" s="3">
        <v>2006.0</v>
      </c>
      <c r="D311" s="67" t="s">
        <v>1950</v>
      </c>
      <c r="E311" s="115"/>
      <c r="F311" s="61"/>
      <c r="G311" s="60"/>
      <c r="H311" s="60"/>
      <c r="I311" s="60"/>
      <c r="J311" s="61" t="s">
        <v>11</v>
      </c>
      <c r="K311" s="58"/>
      <c r="L311" s="58"/>
      <c r="M311" s="58"/>
      <c r="N311" s="58"/>
      <c r="O311" s="58"/>
      <c r="P311" s="58"/>
      <c r="R311" s="3" t="s">
        <v>185</v>
      </c>
    </row>
    <row r="312">
      <c r="A312" s="3">
        <v>38.0</v>
      </c>
      <c r="B312" s="67" t="s">
        <v>1951</v>
      </c>
      <c r="C312" s="3">
        <v>2006.0</v>
      </c>
      <c r="D312" s="67" t="s">
        <v>1952</v>
      </c>
      <c r="E312" s="115"/>
      <c r="F312" s="61"/>
      <c r="G312" s="60"/>
      <c r="H312" s="60"/>
      <c r="I312" s="60"/>
      <c r="J312" s="61" t="s">
        <v>11</v>
      </c>
      <c r="K312" s="58"/>
      <c r="L312" s="58"/>
      <c r="M312" s="58"/>
      <c r="N312" s="58"/>
      <c r="O312" s="58"/>
      <c r="P312" s="58"/>
      <c r="R312" s="3" t="s">
        <v>185</v>
      </c>
    </row>
    <row r="313">
      <c r="A313" s="3">
        <v>38.0</v>
      </c>
      <c r="B313" s="67" t="s">
        <v>1953</v>
      </c>
      <c r="C313" s="3">
        <v>2010.0</v>
      </c>
      <c r="D313" s="67" t="s">
        <v>1954</v>
      </c>
      <c r="E313" s="115"/>
      <c r="F313" s="61"/>
      <c r="G313" s="60"/>
      <c r="H313" s="60"/>
      <c r="I313" s="60"/>
      <c r="J313" s="61" t="s">
        <v>11</v>
      </c>
      <c r="K313" s="58"/>
      <c r="L313" s="58"/>
      <c r="M313" s="58"/>
      <c r="N313" s="58"/>
      <c r="O313" s="58"/>
      <c r="P313" s="58"/>
      <c r="R313" s="3" t="s">
        <v>185</v>
      </c>
    </row>
    <row r="314">
      <c r="A314" s="3">
        <v>38.0</v>
      </c>
      <c r="B314" s="67" t="s">
        <v>1955</v>
      </c>
      <c r="C314" s="3">
        <v>2010.0</v>
      </c>
      <c r="D314" s="67" t="s">
        <v>1956</v>
      </c>
      <c r="E314" s="115"/>
      <c r="F314" s="61"/>
      <c r="G314" s="60"/>
      <c r="H314" s="60"/>
      <c r="I314" s="60"/>
      <c r="J314" s="61" t="s">
        <v>11</v>
      </c>
      <c r="K314" s="58"/>
      <c r="L314" s="58"/>
      <c r="M314" s="58"/>
      <c r="N314" s="58"/>
      <c r="O314" s="58"/>
      <c r="P314" s="58"/>
      <c r="R314" s="3" t="s">
        <v>185</v>
      </c>
    </row>
    <row r="315">
      <c r="A315" s="3">
        <v>38.0</v>
      </c>
      <c r="B315" s="67" t="s">
        <v>1957</v>
      </c>
      <c r="C315" s="3">
        <v>2011.0</v>
      </c>
      <c r="D315" s="67" t="s">
        <v>1958</v>
      </c>
      <c r="E315" s="35" t="s">
        <v>1959</v>
      </c>
      <c r="F315" s="61" t="s">
        <v>11</v>
      </c>
      <c r="G315" s="60"/>
      <c r="H315" s="60"/>
      <c r="I315" s="60"/>
      <c r="J315" s="60"/>
      <c r="K315" s="58"/>
      <c r="L315" s="58"/>
      <c r="M315" s="58"/>
      <c r="N315" s="58"/>
      <c r="O315" s="58"/>
      <c r="P315" s="58"/>
      <c r="R315" s="3" t="s">
        <v>185</v>
      </c>
    </row>
    <row r="316">
      <c r="A316" s="3">
        <v>38.0</v>
      </c>
      <c r="B316" s="67" t="s">
        <v>1960</v>
      </c>
      <c r="C316" s="3">
        <v>2004.0</v>
      </c>
      <c r="D316" s="67" t="s">
        <v>1961</v>
      </c>
      <c r="E316" s="115"/>
      <c r="F316" s="61"/>
      <c r="G316" s="60"/>
      <c r="H316" s="60"/>
      <c r="I316" s="60"/>
      <c r="J316" s="61" t="s">
        <v>11</v>
      </c>
      <c r="K316" s="58"/>
      <c r="L316" s="58"/>
      <c r="M316" s="58"/>
      <c r="N316" s="58"/>
      <c r="O316" s="58"/>
      <c r="P316" s="58"/>
      <c r="R316" s="3" t="s">
        <v>185</v>
      </c>
    </row>
    <row r="317">
      <c r="A317" s="3">
        <v>38.0</v>
      </c>
      <c r="B317" s="67" t="s">
        <v>1962</v>
      </c>
      <c r="C317" s="3">
        <v>2008.0</v>
      </c>
      <c r="D317" s="67" t="s">
        <v>1963</v>
      </c>
      <c r="E317" s="115"/>
      <c r="F317" s="61"/>
      <c r="G317" s="60"/>
      <c r="H317" s="60"/>
      <c r="I317" s="60"/>
      <c r="J317" s="61" t="s">
        <v>11</v>
      </c>
      <c r="K317" s="58"/>
      <c r="L317" s="58"/>
      <c r="M317" s="58"/>
      <c r="N317" s="58"/>
      <c r="O317" s="58"/>
      <c r="P317" s="58"/>
      <c r="R317" s="3" t="s">
        <v>185</v>
      </c>
    </row>
    <row r="318">
      <c r="A318" s="3">
        <v>38.0</v>
      </c>
      <c r="B318" s="67" t="s">
        <v>1964</v>
      </c>
      <c r="C318" s="3">
        <v>2011.0</v>
      </c>
      <c r="D318" s="67" t="s">
        <v>1965</v>
      </c>
      <c r="E318" s="35" t="s">
        <v>1966</v>
      </c>
      <c r="F318" s="61"/>
      <c r="G318" s="60"/>
      <c r="H318" s="60"/>
      <c r="I318" s="61" t="s">
        <v>11</v>
      </c>
      <c r="J318" s="60"/>
      <c r="K318" s="58"/>
      <c r="L318" s="58"/>
      <c r="M318" s="58"/>
      <c r="N318" s="58"/>
      <c r="O318" s="58"/>
      <c r="P318" s="58"/>
      <c r="R318" s="3" t="s">
        <v>185</v>
      </c>
    </row>
    <row r="319">
      <c r="A319" s="3">
        <v>38.0</v>
      </c>
      <c r="B319" s="67" t="s">
        <v>1967</v>
      </c>
      <c r="C319" s="3">
        <v>2008.0</v>
      </c>
      <c r="D319" s="67" t="s">
        <v>1968</v>
      </c>
      <c r="E319" s="115"/>
      <c r="F319" s="61"/>
      <c r="G319" s="60"/>
      <c r="H319" s="60"/>
      <c r="I319" s="60"/>
      <c r="J319" s="61" t="s">
        <v>11</v>
      </c>
      <c r="K319" s="58"/>
      <c r="L319" s="58"/>
      <c r="M319" s="58"/>
      <c r="N319" s="58"/>
      <c r="O319" s="58"/>
      <c r="P319" s="58"/>
      <c r="R319" s="3" t="s">
        <v>185</v>
      </c>
    </row>
    <row r="320">
      <c r="A320" s="3">
        <v>38.0</v>
      </c>
      <c r="B320" s="67" t="s">
        <v>1969</v>
      </c>
      <c r="C320" s="3">
        <v>2006.0</v>
      </c>
      <c r="D320" s="67" t="s">
        <v>1970</v>
      </c>
      <c r="E320" s="115"/>
      <c r="F320" s="61"/>
      <c r="G320" s="60"/>
      <c r="H320" s="60"/>
      <c r="I320" s="60"/>
      <c r="J320" s="61" t="s">
        <v>11</v>
      </c>
      <c r="K320" s="58"/>
      <c r="L320" s="58"/>
      <c r="M320" s="58"/>
      <c r="N320" s="58"/>
      <c r="O320" s="58"/>
      <c r="P320" s="58"/>
      <c r="R320" s="3" t="s">
        <v>185</v>
      </c>
    </row>
    <row r="321">
      <c r="A321" s="3">
        <v>39.0</v>
      </c>
      <c r="B321" s="67" t="s">
        <v>1971</v>
      </c>
      <c r="C321" s="3">
        <v>1999.0</v>
      </c>
      <c r="D321" s="3" t="s">
        <v>1972</v>
      </c>
      <c r="E321" s="115"/>
      <c r="F321" s="61"/>
      <c r="G321" s="60"/>
      <c r="H321" s="60"/>
      <c r="I321" s="60"/>
      <c r="J321" s="61" t="s">
        <v>11</v>
      </c>
      <c r="K321" s="58"/>
      <c r="L321" s="58"/>
      <c r="M321" s="58"/>
      <c r="N321" s="58"/>
      <c r="O321" s="58"/>
      <c r="P321" s="58"/>
      <c r="R321" s="3" t="s">
        <v>185</v>
      </c>
    </row>
    <row r="322">
      <c r="A322" s="3">
        <v>39.0</v>
      </c>
      <c r="B322" s="67" t="s">
        <v>1973</v>
      </c>
      <c r="C322" s="3">
        <v>1998.0</v>
      </c>
      <c r="D322" s="3" t="s">
        <v>1974</v>
      </c>
      <c r="E322" s="115"/>
      <c r="F322" s="61"/>
      <c r="G322" s="60"/>
      <c r="H322" s="60"/>
      <c r="I322" s="60"/>
      <c r="J322" s="61" t="s">
        <v>11</v>
      </c>
      <c r="K322" s="58"/>
      <c r="L322" s="58"/>
      <c r="M322" s="58"/>
      <c r="N322" s="58"/>
      <c r="O322" s="58"/>
      <c r="P322" s="58"/>
      <c r="R322" s="3" t="s">
        <v>185</v>
      </c>
    </row>
    <row r="323">
      <c r="A323" s="3">
        <v>39.0</v>
      </c>
      <c r="B323" s="67" t="s">
        <v>1975</v>
      </c>
      <c r="C323" s="3">
        <v>2003.0</v>
      </c>
      <c r="D323" s="3" t="s">
        <v>1976</v>
      </c>
      <c r="E323" s="115"/>
      <c r="F323" s="61"/>
      <c r="G323" s="60"/>
      <c r="H323" s="60"/>
      <c r="I323" s="60"/>
      <c r="J323" s="61" t="s">
        <v>11</v>
      </c>
      <c r="K323" s="58"/>
      <c r="L323" s="58"/>
      <c r="M323" s="58"/>
      <c r="N323" s="58"/>
      <c r="O323" s="58"/>
      <c r="P323" s="58"/>
      <c r="R323" s="3" t="s">
        <v>185</v>
      </c>
    </row>
    <row r="324">
      <c r="A324" s="3">
        <v>39.0</v>
      </c>
      <c r="B324" s="67" t="s">
        <v>1977</v>
      </c>
      <c r="C324" s="3">
        <v>2009.0</v>
      </c>
      <c r="D324" s="3" t="s">
        <v>1978</v>
      </c>
      <c r="E324" s="115"/>
      <c r="F324" s="61"/>
      <c r="G324" s="60"/>
      <c r="H324" s="60"/>
      <c r="I324" s="60"/>
      <c r="J324" s="61" t="s">
        <v>11</v>
      </c>
      <c r="K324" s="58"/>
      <c r="L324" s="58"/>
      <c r="M324" s="58"/>
      <c r="N324" s="58"/>
      <c r="O324" s="58"/>
      <c r="P324" s="58"/>
      <c r="R324" s="3" t="s">
        <v>185</v>
      </c>
    </row>
    <row r="325">
      <c r="A325" s="3">
        <v>39.0</v>
      </c>
      <c r="B325" s="67" t="s">
        <v>1979</v>
      </c>
      <c r="C325" s="3">
        <v>1980.0</v>
      </c>
      <c r="D325" s="3" t="s">
        <v>1980</v>
      </c>
      <c r="E325" s="115"/>
      <c r="F325" s="61"/>
      <c r="G325" s="60"/>
      <c r="H325" s="60"/>
      <c r="I325" s="60"/>
      <c r="J325" s="61" t="s">
        <v>11</v>
      </c>
      <c r="K325" s="58"/>
      <c r="L325" s="58"/>
      <c r="M325" s="58"/>
      <c r="N325" s="58"/>
      <c r="O325" s="58"/>
      <c r="P325" s="58"/>
      <c r="R325" s="3" t="s">
        <v>185</v>
      </c>
    </row>
    <row r="326">
      <c r="A326" s="3">
        <v>39.0</v>
      </c>
      <c r="B326" s="67" t="s">
        <v>1981</v>
      </c>
      <c r="C326" s="3">
        <v>2008.0</v>
      </c>
      <c r="D326" s="3" t="s">
        <v>1982</v>
      </c>
      <c r="E326" s="115"/>
      <c r="F326" s="61"/>
      <c r="G326" s="60"/>
      <c r="H326" s="60"/>
      <c r="I326" s="60"/>
      <c r="J326" s="61" t="s">
        <v>11</v>
      </c>
      <c r="K326" s="58"/>
      <c r="L326" s="58"/>
      <c r="M326" s="58"/>
      <c r="N326" s="58"/>
      <c r="O326" s="58"/>
      <c r="P326" s="58"/>
      <c r="R326" s="3" t="s">
        <v>185</v>
      </c>
    </row>
    <row r="327">
      <c r="A327" s="3">
        <v>39.0</v>
      </c>
      <c r="B327" s="67" t="s">
        <v>1983</v>
      </c>
      <c r="C327" s="3">
        <v>2010.0</v>
      </c>
      <c r="D327" s="3" t="s">
        <v>1984</v>
      </c>
      <c r="E327" s="115"/>
      <c r="F327" s="61"/>
      <c r="G327" s="60"/>
      <c r="H327" s="60"/>
      <c r="I327" s="60"/>
      <c r="J327" s="61" t="s">
        <v>11</v>
      </c>
      <c r="K327" s="58"/>
      <c r="L327" s="58"/>
      <c r="M327" s="58"/>
      <c r="N327" s="58"/>
      <c r="O327" s="58"/>
      <c r="P327" s="58"/>
      <c r="R327" s="3" t="s">
        <v>185</v>
      </c>
    </row>
    <row r="328">
      <c r="A328" s="3">
        <v>39.0</v>
      </c>
      <c r="B328" s="67" t="s">
        <v>1985</v>
      </c>
      <c r="C328" s="3">
        <v>2010.0</v>
      </c>
      <c r="D328" s="3" t="s">
        <v>1986</v>
      </c>
      <c r="E328" s="115"/>
      <c r="F328" s="61"/>
      <c r="G328" s="60"/>
      <c r="H328" s="60"/>
      <c r="I328" s="60"/>
      <c r="J328" s="61" t="s">
        <v>11</v>
      </c>
      <c r="K328" s="58"/>
      <c r="L328" s="58"/>
      <c r="M328" s="58"/>
      <c r="N328" s="58"/>
      <c r="O328" s="58"/>
      <c r="P328" s="58"/>
      <c r="R328" s="3" t="s">
        <v>185</v>
      </c>
    </row>
    <row r="329">
      <c r="A329" s="3">
        <v>39.0</v>
      </c>
      <c r="B329" s="67" t="s">
        <v>1987</v>
      </c>
      <c r="C329" s="3">
        <v>2013.0</v>
      </c>
      <c r="D329" s="3" t="s">
        <v>1988</v>
      </c>
      <c r="E329" s="35" t="s">
        <v>1989</v>
      </c>
      <c r="F329" s="61"/>
      <c r="G329" s="60"/>
      <c r="H329" s="60"/>
      <c r="I329" s="60"/>
      <c r="J329" s="60"/>
      <c r="K329" s="58"/>
      <c r="L329" s="58"/>
      <c r="M329" s="58"/>
      <c r="N329" s="58"/>
      <c r="O329" s="58"/>
      <c r="P329" s="58"/>
      <c r="R329" s="3" t="s">
        <v>185</v>
      </c>
      <c r="S329" s="3" t="s">
        <v>1035</v>
      </c>
    </row>
    <row r="330">
      <c r="A330" s="3">
        <v>39.0</v>
      </c>
      <c r="B330" s="67" t="s">
        <v>1990</v>
      </c>
      <c r="C330" s="3">
        <v>2007.0</v>
      </c>
      <c r="D330" s="3" t="s">
        <v>1991</v>
      </c>
      <c r="E330" s="115"/>
      <c r="F330" s="61"/>
      <c r="G330" s="60"/>
      <c r="H330" s="60"/>
      <c r="I330" s="60"/>
      <c r="J330" s="61" t="s">
        <v>11</v>
      </c>
      <c r="K330" s="58"/>
      <c r="L330" s="58"/>
      <c r="M330" s="58"/>
      <c r="N330" s="58"/>
      <c r="O330" s="58"/>
      <c r="P330" s="58"/>
      <c r="R330" s="3" t="s">
        <v>185</v>
      </c>
    </row>
    <row r="331">
      <c r="A331" s="3">
        <v>39.0</v>
      </c>
      <c r="B331" s="67" t="s">
        <v>1992</v>
      </c>
      <c r="C331" s="3">
        <v>2009.0</v>
      </c>
      <c r="D331" s="3" t="s">
        <v>1993</v>
      </c>
      <c r="E331" s="115"/>
      <c r="F331" s="61"/>
      <c r="G331" s="60"/>
      <c r="H331" s="60"/>
      <c r="I331" s="60"/>
      <c r="J331" s="60" t="str">
        <f t="shared" ref="J331:J437" si="13">IF(C331&lt;2011,"x","")</f>
        <v>x</v>
      </c>
      <c r="K331" s="58"/>
      <c r="L331" s="58"/>
      <c r="M331" s="58"/>
      <c r="N331" s="58"/>
      <c r="O331" s="58"/>
      <c r="P331" s="58"/>
      <c r="R331" s="3" t="s">
        <v>185</v>
      </c>
    </row>
    <row r="332">
      <c r="A332" s="3">
        <v>39.0</v>
      </c>
      <c r="B332" s="67" t="s">
        <v>1994</v>
      </c>
      <c r="C332" s="3">
        <v>2009.0</v>
      </c>
      <c r="D332" s="3" t="s">
        <v>1995</v>
      </c>
      <c r="E332" s="115"/>
      <c r="F332" s="61"/>
      <c r="G332" s="60"/>
      <c r="H332" s="60"/>
      <c r="I332" s="60"/>
      <c r="J332" s="60" t="str">
        <f t="shared" si="13"/>
        <v>x</v>
      </c>
      <c r="K332" s="58"/>
      <c r="L332" s="58"/>
      <c r="M332" s="58"/>
      <c r="N332" s="58"/>
      <c r="O332" s="58"/>
      <c r="P332" s="58"/>
      <c r="R332" s="3" t="s">
        <v>185</v>
      </c>
    </row>
    <row r="333">
      <c r="A333" s="3">
        <v>39.0</v>
      </c>
      <c r="B333" s="67" t="s">
        <v>1996</v>
      </c>
      <c r="C333" s="3">
        <v>2004.0</v>
      </c>
      <c r="D333" s="3" t="s">
        <v>1997</v>
      </c>
      <c r="E333" s="115"/>
      <c r="F333" s="61"/>
      <c r="G333" s="60"/>
      <c r="H333" s="60"/>
      <c r="I333" s="60"/>
      <c r="J333" s="60" t="str">
        <f t="shared" si="13"/>
        <v>x</v>
      </c>
      <c r="K333" s="58"/>
      <c r="L333" s="58"/>
      <c r="M333" s="58"/>
      <c r="N333" s="58"/>
      <c r="O333" s="58"/>
      <c r="P333" s="58"/>
      <c r="R333" s="3" t="s">
        <v>185</v>
      </c>
    </row>
    <row r="334">
      <c r="A334" s="3">
        <v>39.0</v>
      </c>
      <c r="B334" s="67" t="s">
        <v>1998</v>
      </c>
      <c r="C334" s="3">
        <v>2007.0</v>
      </c>
      <c r="D334" s="3" t="s">
        <v>1999</v>
      </c>
      <c r="E334" s="115"/>
      <c r="F334" s="61"/>
      <c r="G334" s="60"/>
      <c r="H334" s="60"/>
      <c r="I334" s="60"/>
      <c r="J334" s="60" t="str">
        <f t="shared" si="13"/>
        <v>x</v>
      </c>
      <c r="K334" s="58"/>
      <c r="L334" s="58"/>
      <c r="M334" s="58"/>
      <c r="N334" s="58"/>
      <c r="O334" s="58"/>
      <c r="P334" s="58"/>
      <c r="R334" s="3" t="s">
        <v>185</v>
      </c>
    </row>
    <row r="335">
      <c r="A335" s="3">
        <v>39.0</v>
      </c>
      <c r="B335" s="67" t="s">
        <v>2000</v>
      </c>
      <c r="C335" s="3">
        <v>2003.0</v>
      </c>
      <c r="D335" s="3" t="s">
        <v>2001</v>
      </c>
      <c r="E335" s="115"/>
      <c r="F335" s="61"/>
      <c r="G335" s="60"/>
      <c r="H335" s="60"/>
      <c r="I335" s="60"/>
      <c r="J335" s="60" t="str">
        <f t="shared" si="13"/>
        <v>x</v>
      </c>
      <c r="K335" s="58"/>
      <c r="L335" s="58"/>
      <c r="M335" s="58"/>
      <c r="N335" s="58"/>
      <c r="O335" s="58"/>
      <c r="P335" s="58"/>
      <c r="R335" s="3" t="s">
        <v>185</v>
      </c>
    </row>
    <row r="336">
      <c r="A336" s="3">
        <v>39.0</v>
      </c>
      <c r="B336" s="67" t="s">
        <v>2002</v>
      </c>
      <c r="C336" s="3">
        <v>2003.0</v>
      </c>
      <c r="D336" s="3" t="s">
        <v>2003</v>
      </c>
      <c r="E336" s="115"/>
      <c r="F336" s="61"/>
      <c r="G336" s="60"/>
      <c r="H336" s="60"/>
      <c r="I336" s="60"/>
      <c r="J336" s="60" t="str">
        <f t="shared" si="13"/>
        <v>x</v>
      </c>
      <c r="K336" s="58"/>
      <c r="L336" s="58"/>
      <c r="M336" s="58"/>
      <c r="N336" s="58"/>
      <c r="O336" s="58"/>
      <c r="P336" s="58"/>
      <c r="R336" s="3" t="s">
        <v>185</v>
      </c>
    </row>
    <row r="337">
      <c r="A337" s="3">
        <v>39.0</v>
      </c>
      <c r="B337" s="67" t="s">
        <v>2004</v>
      </c>
      <c r="C337" s="3">
        <v>2008.0</v>
      </c>
      <c r="D337" s="3" t="s">
        <v>2005</v>
      </c>
      <c r="E337" s="115"/>
      <c r="F337" s="61"/>
      <c r="G337" s="60"/>
      <c r="H337" s="60"/>
      <c r="I337" s="60"/>
      <c r="J337" s="60" t="str">
        <f t="shared" si="13"/>
        <v>x</v>
      </c>
      <c r="K337" s="58"/>
      <c r="L337" s="58"/>
      <c r="M337" s="58"/>
      <c r="N337" s="58"/>
      <c r="O337" s="58"/>
      <c r="P337" s="58"/>
      <c r="R337" s="3" t="s">
        <v>185</v>
      </c>
    </row>
    <row r="338">
      <c r="A338" s="3">
        <v>39.0</v>
      </c>
      <c r="B338" s="67" t="s">
        <v>2006</v>
      </c>
      <c r="C338" s="3">
        <v>1998.0</v>
      </c>
      <c r="D338" s="3" t="s">
        <v>2007</v>
      </c>
      <c r="E338" s="115"/>
      <c r="F338" s="61"/>
      <c r="G338" s="60"/>
      <c r="H338" s="60"/>
      <c r="I338" s="60"/>
      <c r="J338" s="60" t="str">
        <f t="shared" si="13"/>
        <v>x</v>
      </c>
      <c r="K338" s="58"/>
      <c r="L338" s="58"/>
      <c r="M338" s="58"/>
      <c r="N338" s="58"/>
      <c r="O338" s="58"/>
      <c r="P338" s="58"/>
      <c r="R338" s="3" t="s">
        <v>185</v>
      </c>
    </row>
    <row r="339">
      <c r="A339" s="3">
        <v>39.0</v>
      </c>
      <c r="B339" s="67" t="s">
        <v>2008</v>
      </c>
      <c r="C339" s="3">
        <v>2007.0</v>
      </c>
      <c r="D339" s="3" t="s">
        <v>2009</v>
      </c>
      <c r="E339" s="115"/>
      <c r="F339" s="61"/>
      <c r="G339" s="60"/>
      <c r="H339" s="60"/>
      <c r="I339" s="60"/>
      <c r="J339" s="60" t="str">
        <f t="shared" si="13"/>
        <v>x</v>
      </c>
      <c r="K339" s="58"/>
      <c r="L339" s="58"/>
      <c r="M339" s="58"/>
      <c r="N339" s="58"/>
      <c r="O339" s="58"/>
      <c r="P339" s="58"/>
      <c r="R339" s="3" t="s">
        <v>185</v>
      </c>
    </row>
    <row r="340">
      <c r="A340" s="3">
        <v>39.0</v>
      </c>
      <c r="B340" s="67" t="s">
        <v>2010</v>
      </c>
      <c r="C340" s="3">
        <v>1986.0</v>
      </c>
      <c r="D340" s="3" t="s">
        <v>2011</v>
      </c>
      <c r="E340" s="115"/>
      <c r="F340" s="61"/>
      <c r="G340" s="60"/>
      <c r="H340" s="60"/>
      <c r="I340" s="60"/>
      <c r="J340" s="60" t="str">
        <f t="shared" si="13"/>
        <v>x</v>
      </c>
      <c r="K340" s="58"/>
      <c r="L340" s="58"/>
      <c r="M340" s="58"/>
      <c r="N340" s="58"/>
      <c r="O340" s="58"/>
      <c r="P340" s="58"/>
      <c r="R340" s="3" t="s">
        <v>185</v>
      </c>
    </row>
    <row r="341">
      <c r="A341" s="3">
        <v>39.0</v>
      </c>
      <c r="B341" s="67" t="s">
        <v>2012</v>
      </c>
      <c r="C341" s="3">
        <v>2007.0</v>
      </c>
      <c r="D341" s="3" t="s">
        <v>2013</v>
      </c>
      <c r="E341" s="115"/>
      <c r="F341" s="61"/>
      <c r="G341" s="60"/>
      <c r="H341" s="60"/>
      <c r="I341" s="60"/>
      <c r="J341" s="60" t="str">
        <f t="shared" si="13"/>
        <v>x</v>
      </c>
      <c r="K341" s="58"/>
      <c r="L341" s="58"/>
      <c r="M341" s="58"/>
      <c r="N341" s="58"/>
      <c r="O341" s="58"/>
      <c r="P341" s="58"/>
      <c r="R341" s="3" t="s">
        <v>185</v>
      </c>
    </row>
    <row r="342">
      <c r="A342" s="3">
        <v>39.0</v>
      </c>
      <c r="B342" s="67" t="s">
        <v>2014</v>
      </c>
      <c r="C342" s="3">
        <v>2007.0</v>
      </c>
      <c r="D342" s="3" t="s">
        <v>2013</v>
      </c>
      <c r="E342" s="115"/>
      <c r="F342" s="61"/>
      <c r="G342" s="60"/>
      <c r="H342" s="60"/>
      <c r="I342" s="60"/>
      <c r="J342" s="60" t="str">
        <f t="shared" si="13"/>
        <v>x</v>
      </c>
      <c r="K342" s="58"/>
      <c r="L342" s="58"/>
      <c r="M342" s="58"/>
      <c r="N342" s="58"/>
      <c r="O342" s="58"/>
      <c r="P342" s="58"/>
      <c r="R342" s="3" t="s">
        <v>185</v>
      </c>
    </row>
    <row r="343">
      <c r="A343" s="3">
        <v>39.0</v>
      </c>
      <c r="B343" s="67" t="s">
        <v>2015</v>
      </c>
      <c r="C343" s="3">
        <v>1997.0</v>
      </c>
      <c r="D343" s="3" t="s">
        <v>2016</v>
      </c>
      <c r="E343" s="115"/>
      <c r="F343" s="61"/>
      <c r="G343" s="60"/>
      <c r="H343" s="60"/>
      <c r="I343" s="60"/>
      <c r="J343" s="60" t="str">
        <f t="shared" si="13"/>
        <v>x</v>
      </c>
      <c r="K343" s="58"/>
      <c r="L343" s="58"/>
      <c r="M343" s="58"/>
      <c r="N343" s="58"/>
      <c r="O343" s="58"/>
      <c r="P343" s="58"/>
      <c r="R343" s="3" t="s">
        <v>185</v>
      </c>
    </row>
    <row r="344">
      <c r="A344" s="3">
        <v>39.0</v>
      </c>
      <c r="B344" s="67" t="s">
        <v>2017</v>
      </c>
      <c r="C344" s="3">
        <v>2005.0</v>
      </c>
      <c r="D344" s="3" t="s">
        <v>2018</v>
      </c>
      <c r="E344" s="115"/>
      <c r="F344" s="61"/>
      <c r="G344" s="60"/>
      <c r="H344" s="60"/>
      <c r="I344" s="60"/>
      <c r="J344" s="60" t="str">
        <f t="shared" si="13"/>
        <v>x</v>
      </c>
      <c r="K344" s="58"/>
      <c r="L344" s="58"/>
      <c r="M344" s="58"/>
      <c r="N344" s="58"/>
      <c r="O344" s="58"/>
      <c r="P344" s="58"/>
      <c r="R344" s="3" t="s">
        <v>185</v>
      </c>
    </row>
    <row r="345">
      <c r="A345" s="3">
        <v>39.0</v>
      </c>
      <c r="B345" s="67" t="s">
        <v>2019</v>
      </c>
      <c r="C345" s="3">
        <v>2010.0</v>
      </c>
      <c r="D345" s="3" t="s">
        <v>2020</v>
      </c>
      <c r="E345" s="115"/>
      <c r="F345" s="61"/>
      <c r="G345" s="60"/>
      <c r="H345" s="60"/>
      <c r="I345" s="60"/>
      <c r="J345" s="60" t="str">
        <f t="shared" si="13"/>
        <v>x</v>
      </c>
      <c r="K345" s="58"/>
      <c r="L345" s="58"/>
      <c r="M345" s="58"/>
      <c r="N345" s="58"/>
      <c r="O345" s="58"/>
      <c r="P345" s="58"/>
      <c r="R345" s="3" t="s">
        <v>185</v>
      </c>
    </row>
    <row r="346">
      <c r="A346" s="3">
        <v>39.0</v>
      </c>
      <c r="B346" s="67" t="s">
        <v>2021</v>
      </c>
      <c r="C346" s="3">
        <v>2009.0</v>
      </c>
      <c r="D346" s="3" t="s">
        <v>2022</v>
      </c>
      <c r="E346" s="115"/>
      <c r="F346" s="61"/>
      <c r="G346" s="60"/>
      <c r="H346" s="60"/>
      <c r="I346" s="60"/>
      <c r="J346" s="60" t="str">
        <f t="shared" si="13"/>
        <v>x</v>
      </c>
      <c r="K346" s="58"/>
      <c r="L346" s="58"/>
      <c r="M346" s="58"/>
      <c r="N346" s="58"/>
      <c r="O346" s="58"/>
      <c r="P346" s="58"/>
      <c r="R346" s="3" t="s">
        <v>185</v>
      </c>
    </row>
    <row r="347">
      <c r="A347" s="3">
        <v>39.0</v>
      </c>
      <c r="B347" s="67" t="s">
        <v>2023</v>
      </c>
      <c r="C347" s="3">
        <v>2012.0</v>
      </c>
      <c r="D347" s="3" t="s">
        <v>2024</v>
      </c>
      <c r="E347" s="35" t="s">
        <v>2025</v>
      </c>
      <c r="F347" s="61" t="s">
        <v>11</v>
      </c>
      <c r="G347" s="60"/>
      <c r="H347" s="60"/>
      <c r="I347" s="60"/>
      <c r="J347" s="60" t="str">
        <f t="shared" si="13"/>
        <v/>
      </c>
      <c r="K347" s="58"/>
      <c r="L347" s="58"/>
      <c r="M347" s="58"/>
      <c r="N347" s="58"/>
      <c r="O347" s="58"/>
      <c r="P347" s="58"/>
      <c r="R347" s="3" t="s">
        <v>185</v>
      </c>
      <c r="S347" s="3" t="s">
        <v>2026</v>
      </c>
    </row>
    <row r="348">
      <c r="A348" s="3">
        <v>39.0</v>
      </c>
      <c r="B348" s="67" t="s">
        <v>2027</v>
      </c>
      <c r="C348" s="3">
        <v>2010.0</v>
      </c>
      <c r="D348" s="3" t="s">
        <v>2028</v>
      </c>
      <c r="E348" s="115"/>
      <c r="F348" s="61"/>
      <c r="G348" s="60"/>
      <c r="H348" s="60"/>
      <c r="I348" s="60"/>
      <c r="J348" s="60" t="str">
        <f t="shared" si="13"/>
        <v>x</v>
      </c>
      <c r="K348" s="58"/>
      <c r="L348" s="58"/>
      <c r="M348" s="58"/>
      <c r="N348" s="58"/>
      <c r="O348" s="58"/>
      <c r="P348" s="58"/>
      <c r="R348" s="3" t="s">
        <v>185</v>
      </c>
    </row>
    <row r="349">
      <c r="A349" s="3">
        <v>39.0</v>
      </c>
      <c r="B349" s="67" t="s">
        <v>2029</v>
      </c>
      <c r="C349" s="3">
        <v>2002.0</v>
      </c>
      <c r="D349" s="3" t="s">
        <v>2030</v>
      </c>
      <c r="E349" s="115"/>
      <c r="F349" s="61"/>
      <c r="G349" s="60"/>
      <c r="H349" s="60"/>
      <c r="I349" s="60"/>
      <c r="J349" s="60" t="str">
        <f t="shared" si="13"/>
        <v>x</v>
      </c>
      <c r="K349" s="58"/>
      <c r="L349" s="58"/>
      <c r="M349" s="58"/>
      <c r="N349" s="58"/>
      <c r="O349" s="58"/>
      <c r="P349" s="58"/>
      <c r="R349" s="3" t="s">
        <v>185</v>
      </c>
    </row>
    <row r="350">
      <c r="A350" s="3">
        <v>39.0</v>
      </c>
      <c r="B350" s="67" t="s">
        <v>2031</v>
      </c>
      <c r="C350" s="3">
        <v>2003.0</v>
      </c>
      <c r="D350" s="3" t="s">
        <v>2032</v>
      </c>
      <c r="E350" s="115"/>
      <c r="F350" s="61"/>
      <c r="G350" s="60"/>
      <c r="H350" s="60"/>
      <c r="I350" s="60"/>
      <c r="J350" s="60" t="str">
        <f t="shared" si="13"/>
        <v>x</v>
      </c>
      <c r="K350" s="58"/>
      <c r="L350" s="58"/>
      <c r="M350" s="58"/>
      <c r="N350" s="58"/>
      <c r="O350" s="58"/>
      <c r="P350" s="58"/>
      <c r="R350" s="3" t="s">
        <v>185</v>
      </c>
    </row>
    <row r="351">
      <c r="A351" s="3">
        <v>39.0</v>
      </c>
      <c r="B351" s="67" t="s">
        <v>2033</v>
      </c>
      <c r="C351" s="3">
        <v>2010.0</v>
      </c>
      <c r="D351" s="3" t="s">
        <v>2034</v>
      </c>
      <c r="E351" s="115"/>
      <c r="F351" s="61"/>
      <c r="G351" s="60"/>
      <c r="H351" s="60"/>
      <c r="I351" s="60"/>
      <c r="J351" s="60" t="str">
        <f t="shared" si="13"/>
        <v>x</v>
      </c>
      <c r="K351" s="58"/>
      <c r="L351" s="58"/>
      <c r="M351" s="58"/>
      <c r="N351" s="58"/>
      <c r="O351" s="58"/>
      <c r="P351" s="58"/>
      <c r="R351" s="3" t="s">
        <v>185</v>
      </c>
    </row>
    <row r="352">
      <c r="A352" s="3">
        <v>39.0</v>
      </c>
      <c r="B352" s="67" t="s">
        <v>324</v>
      </c>
      <c r="C352" s="3">
        <v>2013.0</v>
      </c>
      <c r="D352" s="3" t="s">
        <v>2035</v>
      </c>
      <c r="E352" s="35" t="s">
        <v>2036</v>
      </c>
      <c r="F352" s="61"/>
      <c r="G352" s="60"/>
      <c r="H352" s="60"/>
      <c r="I352" s="60"/>
      <c r="J352" s="60" t="str">
        <f t="shared" si="13"/>
        <v/>
      </c>
      <c r="K352" s="58"/>
      <c r="L352" s="58"/>
      <c r="M352" s="58"/>
      <c r="N352" s="58"/>
      <c r="O352" s="58"/>
      <c r="P352" s="58"/>
      <c r="R352" s="3" t="s">
        <v>185</v>
      </c>
      <c r="S352" s="3" t="s">
        <v>1035</v>
      </c>
    </row>
    <row r="353">
      <c r="A353" s="3">
        <v>39.0</v>
      </c>
      <c r="B353" s="67" t="s">
        <v>2037</v>
      </c>
      <c r="C353" s="3">
        <v>2001.0</v>
      </c>
      <c r="D353" s="3" t="s">
        <v>2038</v>
      </c>
      <c r="E353" s="115"/>
      <c r="F353" s="61"/>
      <c r="G353" s="60"/>
      <c r="H353" s="60"/>
      <c r="I353" s="60"/>
      <c r="J353" s="60" t="str">
        <f t="shared" si="13"/>
        <v>x</v>
      </c>
      <c r="K353" s="58"/>
      <c r="L353" s="58"/>
      <c r="M353" s="58"/>
      <c r="N353" s="58"/>
      <c r="O353" s="58"/>
      <c r="P353" s="58"/>
      <c r="R353" s="3" t="s">
        <v>185</v>
      </c>
    </row>
    <row r="354">
      <c r="A354" s="3">
        <v>39.0</v>
      </c>
      <c r="B354" s="67" t="s">
        <v>2039</v>
      </c>
      <c r="C354" s="3">
        <v>1998.0</v>
      </c>
      <c r="D354" s="3" t="s">
        <v>2040</v>
      </c>
      <c r="E354" s="115"/>
      <c r="F354" s="61"/>
      <c r="G354" s="60"/>
      <c r="H354" s="60"/>
      <c r="I354" s="60"/>
      <c r="J354" s="60" t="str">
        <f t="shared" si="13"/>
        <v>x</v>
      </c>
      <c r="K354" s="58"/>
      <c r="L354" s="58"/>
      <c r="M354" s="58"/>
      <c r="N354" s="58"/>
      <c r="O354" s="58"/>
      <c r="P354" s="58"/>
      <c r="R354" s="3" t="s">
        <v>185</v>
      </c>
    </row>
    <row r="355">
      <c r="A355" s="3">
        <v>39.0</v>
      </c>
      <c r="B355" s="67" t="s">
        <v>2041</v>
      </c>
      <c r="C355" s="3">
        <v>1992.0</v>
      </c>
      <c r="D355" s="3" t="s">
        <v>2042</v>
      </c>
      <c r="E355" s="115"/>
      <c r="F355" s="61"/>
      <c r="G355" s="60"/>
      <c r="H355" s="60"/>
      <c r="I355" s="60"/>
      <c r="J355" s="60" t="str">
        <f t="shared" si="13"/>
        <v>x</v>
      </c>
      <c r="K355" s="58"/>
      <c r="L355" s="58"/>
      <c r="M355" s="58"/>
      <c r="N355" s="58"/>
      <c r="O355" s="58"/>
      <c r="P355" s="58"/>
      <c r="R355" s="3" t="s">
        <v>185</v>
      </c>
    </row>
    <row r="356">
      <c r="A356" s="3">
        <v>39.0</v>
      </c>
      <c r="B356" s="67" t="s">
        <v>2043</v>
      </c>
      <c r="C356" s="3">
        <v>2002.0</v>
      </c>
      <c r="D356" s="3" t="s">
        <v>2044</v>
      </c>
      <c r="E356" s="115"/>
      <c r="F356" s="61"/>
      <c r="G356" s="60"/>
      <c r="H356" s="60"/>
      <c r="I356" s="60"/>
      <c r="J356" s="60" t="str">
        <f t="shared" si="13"/>
        <v>x</v>
      </c>
      <c r="K356" s="58"/>
      <c r="L356" s="58"/>
      <c r="M356" s="58"/>
      <c r="N356" s="58"/>
      <c r="O356" s="58"/>
      <c r="P356" s="58"/>
      <c r="R356" s="3" t="s">
        <v>185</v>
      </c>
    </row>
    <row r="357">
      <c r="A357" s="3">
        <v>39.0</v>
      </c>
      <c r="B357" s="67" t="s">
        <v>2045</v>
      </c>
      <c r="C357" s="3">
        <v>1987.0</v>
      </c>
      <c r="D357" s="3" t="s">
        <v>2046</v>
      </c>
      <c r="E357" s="115"/>
      <c r="F357" s="61"/>
      <c r="G357" s="60"/>
      <c r="H357" s="60"/>
      <c r="I357" s="60"/>
      <c r="J357" s="60" t="str">
        <f t="shared" si="13"/>
        <v>x</v>
      </c>
      <c r="K357" s="58"/>
      <c r="L357" s="58"/>
      <c r="M357" s="58"/>
      <c r="N357" s="58"/>
      <c r="O357" s="58"/>
      <c r="P357" s="58"/>
      <c r="R357" s="3" t="s">
        <v>185</v>
      </c>
    </row>
    <row r="358">
      <c r="A358" s="3">
        <v>39.0</v>
      </c>
      <c r="B358" s="67" t="s">
        <v>2047</v>
      </c>
      <c r="C358" s="3">
        <v>1999.0</v>
      </c>
      <c r="D358" s="3" t="s">
        <v>2048</v>
      </c>
      <c r="E358" s="115"/>
      <c r="F358" s="61"/>
      <c r="G358" s="60"/>
      <c r="H358" s="60"/>
      <c r="I358" s="60"/>
      <c r="J358" s="60" t="str">
        <f t="shared" si="13"/>
        <v>x</v>
      </c>
      <c r="K358" s="58"/>
      <c r="L358" s="58"/>
      <c r="M358" s="58"/>
      <c r="N358" s="58"/>
      <c r="O358" s="58"/>
      <c r="P358" s="58"/>
      <c r="R358" s="3" t="s">
        <v>185</v>
      </c>
    </row>
    <row r="359">
      <c r="A359" s="3">
        <v>39.0</v>
      </c>
      <c r="B359" s="67" t="s">
        <v>2049</v>
      </c>
      <c r="C359" s="3">
        <v>1989.0</v>
      </c>
      <c r="D359" s="3" t="s">
        <v>2050</v>
      </c>
      <c r="E359" s="115"/>
      <c r="F359" s="61"/>
      <c r="G359" s="60"/>
      <c r="H359" s="60"/>
      <c r="I359" s="60"/>
      <c r="J359" s="60" t="str">
        <f t="shared" si="13"/>
        <v>x</v>
      </c>
      <c r="K359" s="58"/>
      <c r="L359" s="58"/>
      <c r="M359" s="58"/>
      <c r="N359" s="58"/>
      <c r="O359" s="58"/>
      <c r="P359" s="58"/>
      <c r="R359" s="3" t="s">
        <v>185</v>
      </c>
    </row>
    <row r="360">
      <c r="A360" s="3">
        <v>39.0</v>
      </c>
      <c r="B360" s="67" t="s">
        <v>2051</v>
      </c>
      <c r="C360" s="3">
        <v>2013.0</v>
      </c>
      <c r="D360" s="3" t="s">
        <v>324</v>
      </c>
      <c r="E360" s="35" t="s">
        <v>2052</v>
      </c>
      <c r="F360" s="61"/>
      <c r="G360" s="60"/>
      <c r="H360" s="60"/>
      <c r="I360" s="60"/>
      <c r="J360" s="60" t="str">
        <f t="shared" si="13"/>
        <v/>
      </c>
      <c r="K360" s="58"/>
      <c r="L360" s="58"/>
      <c r="M360" s="58"/>
      <c r="N360" s="58"/>
      <c r="O360" s="58"/>
      <c r="P360" s="58"/>
      <c r="R360" s="3" t="s">
        <v>185</v>
      </c>
      <c r="S360" s="3" t="s">
        <v>1035</v>
      </c>
    </row>
    <row r="361">
      <c r="A361" s="3">
        <v>39.0</v>
      </c>
      <c r="B361" s="67" t="s">
        <v>2053</v>
      </c>
      <c r="C361" s="3">
        <v>2003.0</v>
      </c>
      <c r="D361" s="3" t="s">
        <v>2054</v>
      </c>
      <c r="E361" s="115"/>
      <c r="F361" s="61"/>
      <c r="G361" s="60"/>
      <c r="H361" s="60"/>
      <c r="I361" s="60"/>
      <c r="J361" s="60" t="str">
        <f t="shared" si="13"/>
        <v>x</v>
      </c>
      <c r="K361" s="58"/>
      <c r="L361" s="58"/>
      <c r="M361" s="58"/>
      <c r="N361" s="58"/>
      <c r="O361" s="58"/>
      <c r="P361" s="58"/>
      <c r="R361" s="3" t="s">
        <v>185</v>
      </c>
    </row>
    <row r="362">
      <c r="A362" s="3">
        <v>39.0</v>
      </c>
      <c r="B362" s="67" t="s">
        <v>2055</v>
      </c>
      <c r="C362" s="3">
        <v>2005.0</v>
      </c>
      <c r="D362" s="3" t="s">
        <v>2056</v>
      </c>
      <c r="E362" s="115"/>
      <c r="F362" s="61"/>
      <c r="G362" s="60"/>
      <c r="H362" s="60"/>
      <c r="I362" s="60"/>
      <c r="J362" s="60" t="str">
        <f t="shared" si="13"/>
        <v>x</v>
      </c>
      <c r="K362" s="58"/>
      <c r="L362" s="58"/>
      <c r="M362" s="58"/>
      <c r="N362" s="58"/>
      <c r="O362" s="58"/>
      <c r="P362" s="58"/>
      <c r="R362" s="3" t="s">
        <v>185</v>
      </c>
    </row>
    <row r="363">
      <c r="A363" s="3">
        <v>39.0</v>
      </c>
      <c r="B363" s="67" t="s">
        <v>2057</v>
      </c>
      <c r="C363" s="3">
        <v>2007.0</v>
      </c>
      <c r="D363" s="3" t="s">
        <v>2058</v>
      </c>
      <c r="E363" s="115"/>
      <c r="F363" s="61"/>
      <c r="G363" s="60"/>
      <c r="H363" s="60"/>
      <c r="I363" s="60"/>
      <c r="J363" s="60" t="str">
        <f t="shared" si="13"/>
        <v>x</v>
      </c>
      <c r="K363" s="58"/>
      <c r="L363" s="58"/>
      <c r="M363" s="58"/>
      <c r="N363" s="58"/>
      <c r="O363" s="58"/>
      <c r="P363" s="58"/>
      <c r="R363" s="3" t="s">
        <v>185</v>
      </c>
    </row>
    <row r="364">
      <c r="A364" s="3">
        <v>39.0</v>
      </c>
      <c r="B364" s="67" t="s">
        <v>2059</v>
      </c>
      <c r="C364" s="3">
        <v>2001.0</v>
      </c>
      <c r="D364" s="3" t="s">
        <v>2060</v>
      </c>
      <c r="E364" s="115"/>
      <c r="F364" s="61"/>
      <c r="G364" s="60"/>
      <c r="H364" s="60"/>
      <c r="I364" s="60"/>
      <c r="J364" s="60" t="str">
        <f t="shared" si="13"/>
        <v>x</v>
      </c>
      <c r="K364" s="58"/>
      <c r="L364" s="58"/>
      <c r="M364" s="58"/>
      <c r="N364" s="58"/>
      <c r="O364" s="58"/>
      <c r="P364" s="58"/>
      <c r="R364" s="3" t="s">
        <v>185</v>
      </c>
    </row>
    <row r="365">
      <c r="A365" s="3">
        <v>39.0</v>
      </c>
      <c r="B365" s="67" t="s">
        <v>2061</v>
      </c>
      <c r="C365" s="3">
        <v>2002.0</v>
      </c>
      <c r="D365" s="3" t="s">
        <v>2062</v>
      </c>
      <c r="E365" s="115"/>
      <c r="F365" s="61"/>
      <c r="G365" s="60"/>
      <c r="H365" s="60"/>
      <c r="I365" s="60"/>
      <c r="J365" s="60" t="str">
        <f t="shared" si="13"/>
        <v>x</v>
      </c>
      <c r="K365" s="58"/>
      <c r="L365" s="58"/>
      <c r="M365" s="58"/>
      <c r="N365" s="58"/>
      <c r="O365" s="58"/>
      <c r="P365" s="58"/>
      <c r="R365" s="3" t="s">
        <v>185</v>
      </c>
    </row>
    <row r="366">
      <c r="A366" s="3">
        <v>39.0</v>
      </c>
      <c r="B366" s="67" t="s">
        <v>2063</v>
      </c>
      <c r="C366" s="3">
        <v>1994.0</v>
      </c>
      <c r="D366" s="3" t="s">
        <v>2064</v>
      </c>
      <c r="E366" s="115"/>
      <c r="F366" s="61"/>
      <c r="G366" s="60"/>
      <c r="H366" s="60"/>
      <c r="I366" s="60"/>
      <c r="J366" s="60" t="str">
        <f t="shared" si="13"/>
        <v>x</v>
      </c>
      <c r="K366" s="58"/>
      <c r="L366" s="58"/>
      <c r="M366" s="58"/>
      <c r="N366" s="58"/>
      <c r="O366" s="58"/>
      <c r="P366" s="58"/>
      <c r="R366" s="3" t="s">
        <v>185</v>
      </c>
    </row>
    <row r="367">
      <c r="A367" s="3">
        <v>39.0</v>
      </c>
      <c r="B367" s="67" t="s">
        <v>2065</v>
      </c>
      <c r="C367" s="3">
        <v>1996.0</v>
      </c>
      <c r="D367" s="3" t="s">
        <v>2066</v>
      </c>
      <c r="E367" s="115"/>
      <c r="F367" s="61"/>
      <c r="G367" s="60"/>
      <c r="H367" s="60"/>
      <c r="I367" s="60"/>
      <c r="J367" s="60" t="str">
        <f t="shared" si="13"/>
        <v>x</v>
      </c>
      <c r="K367" s="58"/>
      <c r="L367" s="58"/>
      <c r="M367" s="58"/>
      <c r="N367" s="58"/>
      <c r="O367" s="58"/>
      <c r="P367" s="58"/>
      <c r="R367" s="3" t="s">
        <v>185</v>
      </c>
    </row>
    <row r="368">
      <c r="A368" s="3">
        <v>39.0</v>
      </c>
      <c r="B368" s="67" t="s">
        <v>2067</v>
      </c>
      <c r="C368" s="3">
        <v>2008.0</v>
      </c>
      <c r="D368" s="3" t="s">
        <v>2068</v>
      </c>
      <c r="E368" s="115"/>
      <c r="F368" s="61"/>
      <c r="G368" s="60"/>
      <c r="H368" s="60"/>
      <c r="I368" s="60"/>
      <c r="J368" s="60" t="str">
        <f t="shared" si="13"/>
        <v>x</v>
      </c>
      <c r="K368" s="58"/>
      <c r="L368" s="58"/>
      <c r="M368" s="58"/>
      <c r="N368" s="58"/>
      <c r="O368" s="58"/>
      <c r="P368" s="58"/>
      <c r="R368" s="3" t="s">
        <v>185</v>
      </c>
    </row>
    <row r="369">
      <c r="A369" s="3">
        <v>39.0</v>
      </c>
      <c r="B369" s="67" t="s">
        <v>2069</v>
      </c>
      <c r="C369" s="3">
        <v>1994.0</v>
      </c>
      <c r="D369" s="3" t="s">
        <v>2070</v>
      </c>
      <c r="E369" s="115"/>
      <c r="F369" s="61"/>
      <c r="G369" s="60"/>
      <c r="H369" s="60"/>
      <c r="I369" s="60"/>
      <c r="J369" s="60" t="str">
        <f t="shared" si="13"/>
        <v>x</v>
      </c>
      <c r="K369" s="58"/>
      <c r="L369" s="58"/>
      <c r="M369" s="58"/>
      <c r="N369" s="58"/>
      <c r="O369" s="58"/>
      <c r="P369" s="58"/>
      <c r="R369" s="3" t="s">
        <v>185</v>
      </c>
    </row>
    <row r="370">
      <c r="A370" s="3">
        <v>39.0</v>
      </c>
      <c r="B370" s="67" t="s">
        <v>2071</v>
      </c>
      <c r="C370" s="3">
        <v>1994.0</v>
      </c>
      <c r="D370" s="3" t="s">
        <v>2072</v>
      </c>
      <c r="E370" s="115"/>
      <c r="F370" s="61"/>
      <c r="G370" s="60"/>
      <c r="H370" s="60"/>
      <c r="I370" s="60"/>
      <c r="J370" s="60" t="str">
        <f t="shared" si="13"/>
        <v>x</v>
      </c>
      <c r="K370" s="58"/>
      <c r="L370" s="58"/>
      <c r="M370" s="58"/>
      <c r="N370" s="58"/>
      <c r="O370" s="58"/>
      <c r="P370" s="58"/>
      <c r="R370" s="3" t="s">
        <v>185</v>
      </c>
    </row>
    <row r="371">
      <c r="A371" s="3">
        <v>39.0</v>
      </c>
      <c r="B371" s="67" t="s">
        <v>2073</v>
      </c>
      <c r="C371" s="3">
        <v>2006.0</v>
      </c>
      <c r="D371" s="3" t="s">
        <v>2074</v>
      </c>
      <c r="E371" s="115"/>
      <c r="F371" s="61"/>
      <c r="G371" s="60"/>
      <c r="H371" s="60"/>
      <c r="I371" s="60"/>
      <c r="J371" s="60" t="str">
        <f t="shared" si="13"/>
        <v>x</v>
      </c>
      <c r="K371" s="58"/>
      <c r="L371" s="58"/>
      <c r="M371" s="58"/>
      <c r="N371" s="58"/>
      <c r="O371" s="58"/>
      <c r="P371" s="58"/>
      <c r="R371" s="3" t="s">
        <v>185</v>
      </c>
    </row>
    <row r="372">
      <c r="A372" s="3">
        <v>39.0</v>
      </c>
      <c r="B372" s="67" t="s">
        <v>2075</v>
      </c>
      <c r="C372" s="3">
        <v>2006.0</v>
      </c>
      <c r="D372" s="3" t="s">
        <v>2076</v>
      </c>
      <c r="E372" s="115"/>
      <c r="F372" s="61"/>
      <c r="G372" s="60"/>
      <c r="H372" s="60"/>
      <c r="I372" s="60"/>
      <c r="J372" s="60" t="str">
        <f t="shared" si="13"/>
        <v>x</v>
      </c>
      <c r="K372" s="58"/>
      <c r="L372" s="58"/>
      <c r="M372" s="58"/>
      <c r="N372" s="58"/>
      <c r="O372" s="58"/>
      <c r="P372" s="58"/>
      <c r="R372" s="3" t="s">
        <v>185</v>
      </c>
    </row>
    <row r="373">
      <c r="A373" s="3">
        <v>40.0</v>
      </c>
      <c r="B373" s="67" t="s">
        <v>2077</v>
      </c>
      <c r="C373" s="3">
        <v>2017.0</v>
      </c>
      <c r="D373" s="3" t="s">
        <v>2078</v>
      </c>
      <c r="E373" s="35" t="s">
        <v>2079</v>
      </c>
      <c r="F373" s="61"/>
      <c r="G373" s="60"/>
      <c r="H373" s="60"/>
      <c r="I373" s="60"/>
      <c r="J373" s="60" t="str">
        <f t="shared" si="13"/>
        <v/>
      </c>
      <c r="K373" s="58"/>
      <c r="L373" s="58"/>
      <c r="M373" s="58"/>
      <c r="N373" s="58"/>
      <c r="O373" s="58"/>
      <c r="P373" s="58"/>
      <c r="R373" s="3" t="s">
        <v>185</v>
      </c>
      <c r="S373" s="3" t="s">
        <v>2080</v>
      </c>
    </row>
    <row r="374">
      <c r="A374" s="3">
        <v>40.0</v>
      </c>
      <c r="B374" s="67" t="s">
        <v>2081</v>
      </c>
      <c r="C374" s="3">
        <v>2013.0</v>
      </c>
      <c r="D374" s="3" t="s">
        <v>2082</v>
      </c>
      <c r="E374" s="35" t="s">
        <v>2083</v>
      </c>
      <c r="F374" s="61" t="s">
        <v>11</v>
      </c>
      <c r="G374" s="60"/>
      <c r="H374" s="60"/>
      <c r="I374" s="60"/>
      <c r="J374" s="60" t="str">
        <f t="shared" si="13"/>
        <v/>
      </c>
      <c r="K374" s="58"/>
      <c r="L374" s="58"/>
      <c r="M374" s="58"/>
      <c r="N374" s="58"/>
      <c r="O374" s="58"/>
      <c r="P374" s="58"/>
      <c r="R374" s="3" t="s">
        <v>185</v>
      </c>
    </row>
    <row r="375">
      <c r="A375" s="3">
        <v>40.0</v>
      </c>
      <c r="B375" s="67" t="s">
        <v>2084</v>
      </c>
      <c r="C375" s="3">
        <v>2018.0</v>
      </c>
      <c r="D375" s="3" t="s">
        <v>2085</v>
      </c>
      <c r="E375" s="35" t="s">
        <v>2086</v>
      </c>
      <c r="F375" s="61" t="s">
        <v>11</v>
      </c>
      <c r="G375" s="60"/>
      <c r="H375" s="60"/>
      <c r="I375" s="60"/>
      <c r="J375" s="60" t="str">
        <f t="shared" si="13"/>
        <v/>
      </c>
      <c r="K375" s="58"/>
      <c r="L375" s="58"/>
      <c r="M375" s="58"/>
      <c r="N375" s="58"/>
      <c r="O375" s="58"/>
      <c r="P375" s="58"/>
      <c r="R375" s="3" t="s">
        <v>185</v>
      </c>
      <c r="S375" s="3" t="s">
        <v>2087</v>
      </c>
    </row>
    <row r="376">
      <c r="A376" s="3">
        <v>40.0</v>
      </c>
      <c r="B376" s="67" t="s">
        <v>2088</v>
      </c>
      <c r="C376" s="3">
        <v>2015.0</v>
      </c>
      <c r="D376" s="3" t="s">
        <v>2089</v>
      </c>
      <c r="E376" s="35" t="s">
        <v>2090</v>
      </c>
      <c r="F376" s="61" t="s">
        <v>11</v>
      </c>
      <c r="G376" s="60"/>
      <c r="H376" s="60"/>
      <c r="I376" s="60"/>
      <c r="J376" s="60" t="str">
        <f t="shared" si="13"/>
        <v/>
      </c>
      <c r="K376" s="58"/>
      <c r="L376" s="58"/>
      <c r="M376" s="58"/>
      <c r="N376" s="58"/>
      <c r="O376" s="58"/>
      <c r="P376" s="58"/>
      <c r="R376" s="3" t="s">
        <v>185</v>
      </c>
    </row>
    <row r="377">
      <c r="A377" s="3">
        <v>40.0</v>
      </c>
      <c r="B377" s="67" t="s">
        <v>2091</v>
      </c>
      <c r="C377" s="3">
        <v>2018.0</v>
      </c>
      <c r="D377" s="3" t="s">
        <v>2092</v>
      </c>
      <c r="E377" s="115"/>
      <c r="F377" s="61"/>
      <c r="G377" s="60"/>
      <c r="H377" s="60"/>
      <c r="I377" s="60"/>
      <c r="J377" s="60" t="str">
        <f t="shared" si="13"/>
        <v/>
      </c>
      <c r="K377" s="58"/>
      <c r="L377" s="58"/>
      <c r="M377" s="58"/>
      <c r="N377" s="58"/>
      <c r="O377" s="58"/>
      <c r="P377" s="58"/>
      <c r="R377" s="3" t="s">
        <v>185</v>
      </c>
      <c r="S377" s="3" t="s">
        <v>1035</v>
      </c>
    </row>
    <row r="378">
      <c r="A378" s="3">
        <v>40.0</v>
      </c>
      <c r="B378" s="67" t="s">
        <v>2093</v>
      </c>
      <c r="C378" s="3">
        <v>2012.0</v>
      </c>
      <c r="D378" s="3" t="s">
        <v>2094</v>
      </c>
      <c r="E378" s="35" t="s">
        <v>2095</v>
      </c>
      <c r="F378" s="61" t="s">
        <v>11</v>
      </c>
      <c r="G378" s="60"/>
      <c r="H378" s="60"/>
      <c r="I378" s="60"/>
      <c r="J378" s="60" t="str">
        <f t="shared" si="13"/>
        <v/>
      </c>
      <c r="K378" s="58"/>
      <c r="L378" s="58"/>
      <c r="M378" s="58"/>
      <c r="N378" s="58"/>
      <c r="O378" s="58"/>
      <c r="P378" s="58"/>
      <c r="R378" s="3" t="s">
        <v>185</v>
      </c>
    </row>
    <row r="379">
      <c r="A379" s="3">
        <v>40.0</v>
      </c>
      <c r="B379" s="67" t="s">
        <v>2096</v>
      </c>
      <c r="C379" s="3">
        <v>2018.0</v>
      </c>
      <c r="D379" s="3" t="s">
        <v>2097</v>
      </c>
      <c r="E379" s="115"/>
      <c r="F379" s="61"/>
      <c r="G379" s="60"/>
      <c r="H379" s="60"/>
      <c r="I379" s="60"/>
      <c r="J379" s="60" t="str">
        <f t="shared" si="13"/>
        <v/>
      </c>
      <c r="K379" s="58"/>
      <c r="L379" s="58"/>
      <c r="M379" s="58"/>
      <c r="N379" s="58"/>
      <c r="O379" s="58"/>
      <c r="P379" s="58"/>
      <c r="R379" s="3" t="s">
        <v>210</v>
      </c>
      <c r="S379" s="3" t="s">
        <v>2098</v>
      </c>
    </row>
    <row r="380">
      <c r="A380" s="3">
        <v>40.0</v>
      </c>
      <c r="B380" s="67" t="s">
        <v>2099</v>
      </c>
      <c r="C380" s="3">
        <v>2017.0</v>
      </c>
      <c r="D380" s="3" t="s">
        <v>2100</v>
      </c>
      <c r="E380" s="35" t="s">
        <v>2101</v>
      </c>
      <c r="F380" s="61" t="s">
        <v>11</v>
      </c>
      <c r="G380" s="60"/>
      <c r="H380" s="60"/>
      <c r="I380" s="60"/>
      <c r="J380" s="60" t="str">
        <f t="shared" si="13"/>
        <v/>
      </c>
      <c r="K380" s="58"/>
      <c r="L380" s="58"/>
      <c r="M380" s="58"/>
      <c r="N380" s="58"/>
      <c r="O380" s="58"/>
      <c r="P380" s="58"/>
      <c r="R380" s="3" t="s">
        <v>185</v>
      </c>
    </row>
    <row r="381">
      <c r="A381" s="3">
        <v>40.0</v>
      </c>
      <c r="B381" s="67" t="s">
        <v>2102</v>
      </c>
      <c r="C381" s="3">
        <v>2014.0</v>
      </c>
      <c r="D381" s="3" t="s">
        <v>2103</v>
      </c>
      <c r="E381" s="35" t="s">
        <v>2104</v>
      </c>
      <c r="F381" s="61"/>
      <c r="G381" s="60"/>
      <c r="H381" s="60"/>
      <c r="I381" s="60"/>
      <c r="J381" s="60" t="str">
        <f t="shared" si="13"/>
        <v/>
      </c>
      <c r="K381" s="58"/>
      <c r="L381" s="58"/>
      <c r="M381" s="58"/>
      <c r="N381" s="58"/>
      <c r="O381" s="58"/>
      <c r="P381" s="58"/>
      <c r="R381" s="3" t="s">
        <v>185</v>
      </c>
      <c r="S381" s="3" t="s">
        <v>881</v>
      </c>
    </row>
    <row r="382">
      <c r="A382" s="3">
        <v>40.0</v>
      </c>
      <c r="B382" s="67" t="s">
        <v>2105</v>
      </c>
      <c r="C382" s="3">
        <v>2017.0</v>
      </c>
      <c r="D382" s="3" t="s">
        <v>2106</v>
      </c>
      <c r="E382" s="35" t="s">
        <v>2107</v>
      </c>
      <c r="F382" s="61"/>
      <c r="G382" s="60"/>
      <c r="H382" s="60"/>
      <c r="I382" s="61" t="s">
        <v>11</v>
      </c>
      <c r="J382" s="60" t="str">
        <f t="shared" si="13"/>
        <v/>
      </c>
      <c r="K382" s="58"/>
      <c r="L382" s="58"/>
      <c r="M382" s="58"/>
      <c r="N382" s="58"/>
      <c r="O382" s="58"/>
      <c r="P382" s="58"/>
      <c r="R382" s="3" t="s">
        <v>185</v>
      </c>
    </row>
    <row r="383">
      <c r="A383" s="3">
        <v>40.0</v>
      </c>
      <c r="B383" s="67" t="s">
        <v>1261</v>
      </c>
      <c r="C383" s="3">
        <v>2006.0</v>
      </c>
      <c r="D383" s="3" t="s">
        <v>2108</v>
      </c>
      <c r="E383" s="115"/>
      <c r="F383" s="61"/>
      <c r="G383" s="60"/>
      <c r="H383" s="60"/>
      <c r="I383" s="60"/>
      <c r="J383" s="60" t="str">
        <f t="shared" si="13"/>
        <v>x</v>
      </c>
      <c r="K383" s="58"/>
      <c r="L383" s="58"/>
      <c r="M383" s="58"/>
      <c r="N383" s="58"/>
      <c r="O383" s="58"/>
      <c r="P383" s="58"/>
      <c r="R383" s="3" t="s">
        <v>185</v>
      </c>
    </row>
    <row r="384">
      <c r="A384" s="3">
        <v>40.0</v>
      </c>
      <c r="B384" s="3" t="s">
        <v>2109</v>
      </c>
      <c r="C384" s="3">
        <v>2011.0</v>
      </c>
      <c r="D384" s="3" t="s">
        <v>2110</v>
      </c>
      <c r="E384" s="36" t="s">
        <v>2111</v>
      </c>
      <c r="F384" s="61"/>
      <c r="G384" s="60"/>
      <c r="H384" s="60"/>
      <c r="I384" s="60"/>
      <c r="J384" s="60" t="str">
        <f t="shared" si="13"/>
        <v/>
      </c>
      <c r="K384" s="58"/>
      <c r="L384" s="58"/>
      <c r="M384" s="58"/>
      <c r="N384" s="59" t="s">
        <v>11</v>
      </c>
      <c r="O384" s="58"/>
      <c r="P384" s="58"/>
      <c r="R384" s="3" t="s">
        <v>185</v>
      </c>
    </row>
    <row r="385">
      <c r="A385" s="3">
        <v>40.0</v>
      </c>
      <c r="B385" s="3" t="s">
        <v>2112</v>
      </c>
      <c r="C385" s="3">
        <v>2002.0</v>
      </c>
      <c r="D385" s="3" t="s">
        <v>2113</v>
      </c>
      <c r="E385" s="62"/>
      <c r="F385" s="61"/>
      <c r="G385" s="60"/>
      <c r="H385" s="60"/>
      <c r="I385" s="60"/>
      <c r="J385" s="60" t="str">
        <f t="shared" si="13"/>
        <v>x</v>
      </c>
      <c r="K385" s="58"/>
      <c r="L385" s="58"/>
      <c r="M385" s="58"/>
      <c r="N385" s="58"/>
      <c r="O385" s="58"/>
      <c r="P385" s="58"/>
      <c r="R385" s="3" t="s">
        <v>185</v>
      </c>
    </row>
    <row r="386">
      <c r="A386" s="3">
        <v>40.0</v>
      </c>
      <c r="B386" s="3" t="s">
        <v>2114</v>
      </c>
      <c r="C386" s="3">
        <v>2008.0</v>
      </c>
      <c r="D386" s="3" t="s">
        <v>2115</v>
      </c>
      <c r="E386" s="62"/>
      <c r="F386" s="61"/>
      <c r="G386" s="60"/>
      <c r="H386" s="60"/>
      <c r="I386" s="60"/>
      <c r="J386" s="60" t="str">
        <f t="shared" si="13"/>
        <v>x</v>
      </c>
      <c r="K386" s="58"/>
      <c r="L386" s="58"/>
      <c r="M386" s="58"/>
      <c r="N386" s="58"/>
      <c r="O386" s="58"/>
      <c r="P386" s="58"/>
      <c r="R386" s="3" t="s">
        <v>185</v>
      </c>
    </row>
    <row r="387">
      <c r="A387" s="3">
        <v>40.0</v>
      </c>
      <c r="B387" s="3" t="s">
        <v>2116</v>
      </c>
      <c r="C387" s="3">
        <v>1997.0</v>
      </c>
      <c r="D387" s="3" t="s">
        <v>2117</v>
      </c>
      <c r="E387" s="62"/>
      <c r="F387" s="61"/>
      <c r="G387" s="60"/>
      <c r="H387" s="60"/>
      <c r="I387" s="60"/>
      <c r="J387" s="60" t="str">
        <f t="shared" si="13"/>
        <v>x</v>
      </c>
      <c r="K387" s="58"/>
      <c r="L387" s="58"/>
      <c r="M387" s="58"/>
      <c r="N387" s="58"/>
      <c r="O387" s="58"/>
      <c r="P387" s="58"/>
      <c r="R387" s="3" t="s">
        <v>185</v>
      </c>
    </row>
    <row r="388">
      <c r="A388" s="3">
        <v>40.0</v>
      </c>
      <c r="B388" s="3" t="s">
        <v>2118</v>
      </c>
      <c r="C388" s="3">
        <v>2012.0</v>
      </c>
      <c r="D388" s="3" t="s">
        <v>2119</v>
      </c>
      <c r="E388" s="36" t="s">
        <v>2120</v>
      </c>
      <c r="F388" s="61"/>
      <c r="G388" s="60"/>
      <c r="H388" s="61" t="s">
        <v>11</v>
      </c>
      <c r="I388" s="60"/>
      <c r="J388" s="60" t="str">
        <f t="shared" si="13"/>
        <v/>
      </c>
      <c r="K388" s="58"/>
      <c r="L388" s="58"/>
      <c r="M388" s="58"/>
      <c r="N388" s="58"/>
      <c r="O388" s="58"/>
      <c r="P388" s="58"/>
      <c r="R388" s="3" t="s">
        <v>185</v>
      </c>
      <c r="S388" s="3" t="s">
        <v>2121</v>
      </c>
    </row>
    <row r="389">
      <c r="A389" s="3">
        <v>40.0</v>
      </c>
      <c r="B389" s="3" t="s">
        <v>2122</v>
      </c>
      <c r="C389" s="3">
        <v>2017.0</v>
      </c>
      <c r="D389" s="3" t="s">
        <v>2123</v>
      </c>
      <c r="E389" s="36" t="s">
        <v>2124</v>
      </c>
      <c r="F389" s="61"/>
      <c r="G389" s="60"/>
      <c r="H389" s="61" t="s">
        <v>11</v>
      </c>
      <c r="I389" s="60"/>
      <c r="J389" s="60" t="str">
        <f t="shared" si="13"/>
        <v/>
      </c>
      <c r="K389" s="58"/>
      <c r="L389" s="58"/>
      <c r="M389" s="58"/>
      <c r="N389" s="58"/>
      <c r="O389" s="58"/>
      <c r="P389" s="58"/>
      <c r="R389" s="3" t="s">
        <v>185</v>
      </c>
      <c r="S389" s="3" t="s">
        <v>2121</v>
      </c>
    </row>
    <row r="390">
      <c r="A390" s="3">
        <v>40.0</v>
      </c>
      <c r="B390" s="3" t="s">
        <v>2125</v>
      </c>
      <c r="C390" s="3">
        <v>2010.0</v>
      </c>
      <c r="D390" s="3" t="s">
        <v>2126</v>
      </c>
      <c r="E390" s="62"/>
      <c r="F390" s="61"/>
      <c r="G390" s="60"/>
      <c r="H390" s="60"/>
      <c r="I390" s="60"/>
      <c r="J390" s="60" t="str">
        <f t="shared" si="13"/>
        <v>x</v>
      </c>
      <c r="K390" s="58"/>
      <c r="L390" s="58"/>
      <c r="M390" s="58"/>
      <c r="N390" s="58"/>
      <c r="O390" s="58"/>
      <c r="P390" s="58"/>
      <c r="R390" s="3" t="s">
        <v>185</v>
      </c>
    </row>
    <row r="391">
      <c r="A391" s="3">
        <v>40.0</v>
      </c>
      <c r="B391" s="3" t="s">
        <v>2127</v>
      </c>
      <c r="C391" s="3">
        <v>2016.0</v>
      </c>
      <c r="D391" s="3" t="s">
        <v>2128</v>
      </c>
      <c r="E391" s="36" t="s">
        <v>2129</v>
      </c>
      <c r="F391" s="61"/>
      <c r="G391" s="60"/>
      <c r="H391" s="61" t="s">
        <v>11</v>
      </c>
      <c r="I391" s="60"/>
      <c r="J391" s="60" t="str">
        <f t="shared" si="13"/>
        <v/>
      </c>
      <c r="K391" s="58"/>
      <c r="L391" s="58"/>
      <c r="M391" s="58"/>
      <c r="N391" s="58"/>
      <c r="O391" s="58"/>
      <c r="P391" s="58"/>
      <c r="R391" s="3" t="s">
        <v>185</v>
      </c>
      <c r="S391" s="3" t="s">
        <v>2121</v>
      </c>
    </row>
    <row r="392">
      <c r="A392" s="3">
        <v>40.0</v>
      </c>
      <c r="B392" s="3" t="s">
        <v>2130</v>
      </c>
      <c r="C392" s="3">
        <v>2019.0</v>
      </c>
      <c r="D392" s="3" t="s">
        <v>2131</v>
      </c>
      <c r="E392" s="36" t="s">
        <v>2132</v>
      </c>
      <c r="F392" s="61"/>
      <c r="G392" s="60"/>
      <c r="H392" s="60"/>
      <c r="I392" s="60"/>
      <c r="J392" s="60" t="str">
        <f t="shared" si="13"/>
        <v/>
      </c>
      <c r="K392" s="58"/>
      <c r="L392" s="58"/>
      <c r="M392" s="58"/>
      <c r="N392" s="58"/>
      <c r="O392" s="58"/>
      <c r="P392" s="58"/>
      <c r="R392" s="3" t="s">
        <v>185</v>
      </c>
      <c r="S392" s="3" t="s">
        <v>1035</v>
      </c>
    </row>
    <row r="393">
      <c r="A393" s="3">
        <v>41.0</v>
      </c>
      <c r="B393" s="3" t="s">
        <v>2133</v>
      </c>
      <c r="C393" s="3">
        <v>1994.0</v>
      </c>
      <c r="D393" s="3" t="s">
        <v>2134</v>
      </c>
      <c r="E393" s="62"/>
      <c r="F393" s="61"/>
      <c r="G393" s="60"/>
      <c r="H393" s="60"/>
      <c r="I393" s="60"/>
      <c r="J393" s="60" t="str">
        <f t="shared" si="13"/>
        <v>x</v>
      </c>
      <c r="K393" s="58"/>
      <c r="L393" s="58"/>
      <c r="M393" s="58"/>
      <c r="N393" s="58"/>
      <c r="O393" s="58"/>
      <c r="P393" s="58"/>
      <c r="R393" s="3" t="s">
        <v>185</v>
      </c>
    </row>
    <row r="394">
      <c r="A394" s="3">
        <v>41.0</v>
      </c>
      <c r="B394" s="3" t="s">
        <v>2135</v>
      </c>
      <c r="C394" s="3">
        <v>2004.0</v>
      </c>
      <c r="D394" s="3" t="s">
        <v>2136</v>
      </c>
      <c r="E394" s="62"/>
      <c r="F394" s="61"/>
      <c r="G394" s="60"/>
      <c r="H394" s="60"/>
      <c r="I394" s="60"/>
      <c r="J394" s="60" t="str">
        <f t="shared" si="13"/>
        <v>x</v>
      </c>
      <c r="K394" s="58"/>
      <c r="L394" s="58"/>
      <c r="M394" s="58"/>
      <c r="N394" s="58"/>
      <c r="O394" s="58"/>
      <c r="P394" s="58"/>
      <c r="R394" s="3" t="s">
        <v>185</v>
      </c>
    </row>
    <row r="395">
      <c r="A395" s="3">
        <v>41.0</v>
      </c>
      <c r="B395" s="3" t="s">
        <v>2137</v>
      </c>
      <c r="C395" s="3">
        <v>2009.0</v>
      </c>
      <c r="D395" s="3" t="s">
        <v>2138</v>
      </c>
      <c r="E395" s="62"/>
      <c r="F395" s="61"/>
      <c r="G395" s="60"/>
      <c r="H395" s="60"/>
      <c r="I395" s="60"/>
      <c r="J395" s="60" t="str">
        <f t="shared" si="13"/>
        <v>x</v>
      </c>
      <c r="K395" s="58"/>
      <c r="L395" s="58"/>
      <c r="M395" s="58"/>
      <c r="N395" s="58"/>
      <c r="O395" s="58"/>
      <c r="P395" s="58"/>
      <c r="R395" s="3" t="s">
        <v>185</v>
      </c>
    </row>
    <row r="396">
      <c r="A396" s="3">
        <v>41.0</v>
      </c>
      <c r="B396" s="3" t="s">
        <v>2139</v>
      </c>
      <c r="C396" s="3">
        <v>2007.0</v>
      </c>
      <c r="D396" s="3" t="s">
        <v>2140</v>
      </c>
      <c r="E396" s="62"/>
      <c r="F396" s="61"/>
      <c r="G396" s="60"/>
      <c r="H396" s="60"/>
      <c r="I396" s="60"/>
      <c r="J396" s="60" t="str">
        <f t="shared" si="13"/>
        <v>x</v>
      </c>
      <c r="K396" s="58"/>
      <c r="L396" s="58"/>
      <c r="M396" s="58"/>
      <c r="N396" s="58"/>
      <c r="O396" s="58"/>
      <c r="P396" s="58"/>
      <c r="R396" s="3" t="s">
        <v>185</v>
      </c>
    </row>
    <row r="397">
      <c r="A397" s="3">
        <v>41.0</v>
      </c>
      <c r="B397" s="3" t="s">
        <v>2141</v>
      </c>
      <c r="C397" s="3">
        <v>2012.0</v>
      </c>
      <c r="D397" s="3" t="s">
        <v>2142</v>
      </c>
      <c r="E397" s="36" t="s">
        <v>2143</v>
      </c>
      <c r="F397" s="61"/>
      <c r="G397" s="60"/>
      <c r="H397" s="60"/>
      <c r="I397" s="60"/>
      <c r="J397" s="60" t="str">
        <f t="shared" si="13"/>
        <v/>
      </c>
      <c r="K397" s="59" t="s">
        <v>11</v>
      </c>
      <c r="L397" s="58"/>
      <c r="M397" s="58"/>
      <c r="N397" s="58"/>
      <c r="O397" s="58"/>
      <c r="P397" s="58"/>
      <c r="R397" s="3" t="s">
        <v>185</v>
      </c>
    </row>
    <row r="398">
      <c r="A398" s="3">
        <v>41.0</v>
      </c>
      <c r="B398" s="3" t="s">
        <v>2144</v>
      </c>
      <c r="C398" s="3">
        <v>1995.0</v>
      </c>
      <c r="D398" s="3" t="s">
        <v>2145</v>
      </c>
      <c r="E398" s="62"/>
      <c r="F398" s="61"/>
      <c r="G398" s="60"/>
      <c r="H398" s="60"/>
      <c r="I398" s="60"/>
      <c r="J398" s="60" t="str">
        <f t="shared" si="13"/>
        <v>x</v>
      </c>
      <c r="K398" s="58"/>
      <c r="L398" s="58"/>
      <c r="M398" s="58"/>
      <c r="N398" s="58"/>
      <c r="O398" s="58"/>
      <c r="P398" s="58"/>
      <c r="R398" s="3" t="s">
        <v>185</v>
      </c>
    </row>
    <row r="399">
      <c r="A399" s="3">
        <v>41.0</v>
      </c>
      <c r="B399" s="3" t="s">
        <v>2146</v>
      </c>
      <c r="C399" s="3">
        <v>2015.0</v>
      </c>
      <c r="D399" s="3" t="s">
        <v>2147</v>
      </c>
      <c r="E399" s="36" t="s">
        <v>2148</v>
      </c>
      <c r="F399" s="61" t="s">
        <v>324</v>
      </c>
      <c r="G399" s="60"/>
      <c r="H399" s="61" t="s">
        <v>11</v>
      </c>
      <c r="I399" s="60"/>
      <c r="J399" s="60" t="str">
        <f t="shared" si="13"/>
        <v/>
      </c>
      <c r="K399" s="58"/>
      <c r="L399" s="58"/>
      <c r="M399" s="58"/>
      <c r="N399" s="58"/>
      <c r="O399" s="58"/>
      <c r="P399" s="58"/>
      <c r="R399" s="3" t="s">
        <v>185</v>
      </c>
    </row>
    <row r="400">
      <c r="A400" s="3">
        <v>41.0</v>
      </c>
      <c r="B400" s="3" t="s">
        <v>2149</v>
      </c>
      <c r="C400" s="3">
        <v>2009.0</v>
      </c>
      <c r="D400" s="3" t="s">
        <v>2150</v>
      </c>
      <c r="E400" s="62"/>
      <c r="F400" s="61"/>
      <c r="G400" s="60"/>
      <c r="H400" s="60"/>
      <c r="I400" s="60"/>
      <c r="J400" s="60" t="str">
        <f t="shared" si="13"/>
        <v>x</v>
      </c>
      <c r="K400" s="58"/>
      <c r="L400" s="58"/>
      <c r="M400" s="58"/>
      <c r="N400" s="58"/>
      <c r="O400" s="58"/>
      <c r="P400" s="58"/>
      <c r="R400" s="3" t="s">
        <v>185</v>
      </c>
    </row>
    <row r="401">
      <c r="A401" s="3">
        <v>41.0</v>
      </c>
      <c r="B401" s="3" t="s">
        <v>2151</v>
      </c>
      <c r="C401" s="3">
        <v>2006.0</v>
      </c>
      <c r="D401" s="3" t="s">
        <v>2152</v>
      </c>
      <c r="E401" s="62"/>
      <c r="F401" s="61"/>
      <c r="G401" s="60"/>
      <c r="H401" s="60"/>
      <c r="I401" s="60"/>
      <c r="J401" s="60" t="str">
        <f t="shared" si="13"/>
        <v>x</v>
      </c>
      <c r="K401" s="58"/>
      <c r="L401" s="58"/>
      <c r="M401" s="58"/>
      <c r="N401" s="58"/>
      <c r="O401" s="58"/>
      <c r="P401" s="58"/>
      <c r="R401" s="3" t="s">
        <v>185</v>
      </c>
    </row>
    <row r="402">
      <c r="A402" s="3">
        <v>41.0</v>
      </c>
      <c r="B402" s="3" t="s">
        <v>2153</v>
      </c>
      <c r="C402" s="3">
        <v>2008.0</v>
      </c>
      <c r="D402" s="3" t="s">
        <v>2154</v>
      </c>
      <c r="E402" s="62"/>
      <c r="F402" s="61"/>
      <c r="G402" s="60"/>
      <c r="H402" s="60"/>
      <c r="I402" s="60"/>
      <c r="J402" s="60" t="str">
        <f t="shared" si="13"/>
        <v>x</v>
      </c>
      <c r="K402" s="58"/>
      <c r="L402" s="58"/>
      <c r="M402" s="58"/>
      <c r="N402" s="58"/>
      <c r="O402" s="58"/>
      <c r="P402" s="58"/>
      <c r="R402" s="3" t="s">
        <v>185</v>
      </c>
    </row>
    <row r="403">
      <c r="A403" s="3">
        <v>41.0</v>
      </c>
      <c r="B403" s="3" t="s">
        <v>2155</v>
      </c>
      <c r="C403" s="3">
        <v>2011.0</v>
      </c>
      <c r="D403" s="3" t="s">
        <v>2156</v>
      </c>
      <c r="E403" s="62"/>
      <c r="F403" s="61" t="s">
        <v>11</v>
      </c>
      <c r="G403" s="60"/>
      <c r="H403" s="60"/>
      <c r="I403" s="60"/>
      <c r="J403" s="60" t="str">
        <f t="shared" si="13"/>
        <v/>
      </c>
      <c r="K403" s="58"/>
      <c r="L403" s="58"/>
      <c r="M403" s="58"/>
      <c r="N403" s="58"/>
      <c r="O403" s="58"/>
      <c r="P403" s="58"/>
      <c r="R403" s="3" t="s">
        <v>185</v>
      </c>
    </row>
    <row r="404">
      <c r="A404" s="3">
        <v>41.0</v>
      </c>
      <c r="B404" s="3" t="s">
        <v>2157</v>
      </c>
      <c r="C404" s="3">
        <v>2014.0</v>
      </c>
      <c r="D404" s="3" t="s">
        <v>2158</v>
      </c>
      <c r="E404" s="36" t="s">
        <v>2159</v>
      </c>
      <c r="F404" s="61" t="s">
        <v>11</v>
      </c>
      <c r="G404" s="60"/>
      <c r="H404" s="60"/>
      <c r="I404" s="60"/>
      <c r="J404" s="60" t="str">
        <f t="shared" si="13"/>
        <v/>
      </c>
      <c r="K404" s="58"/>
      <c r="L404" s="58"/>
      <c r="M404" s="58"/>
      <c r="N404" s="58"/>
      <c r="O404" s="58"/>
      <c r="P404" s="58"/>
      <c r="R404" s="3" t="s">
        <v>185</v>
      </c>
    </row>
    <row r="405">
      <c r="A405" s="3">
        <v>41.0</v>
      </c>
      <c r="B405" s="3" t="s">
        <v>2160</v>
      </c>
      <c r="C405" s="3">
        <v>2014.0</v>
      </c>
      <c r="D405" s="3" t="s">
        <v>2161</v>
      </c>
      <c r="E405" s="36" t="s">
        <v>2162</v>
      </c>
      <c r="F405" s="61" t="s">
        <v>11</v>
      </c>
      <c r="G405" s="60"/>
      <c r="H405" s="60"/>
      <c r="I405" s="60"/>
      <c r="J405" s="60" t="str">
        <f t="shared" si="13"/>
        <v/>
      </c>
      <c r="K405" s="58"/>
      <c r="L405" s="58"/>
      <c r="M405" s="58"/>
      <c r="N405" s="58"/>
      <c r="O405" s="58"/>
      <c r="P405" s="58"/>
      <c r="R405" s="3" t="s">
        <v>185</v>
      </c>
    </row>
    <row r="406">
      <c r="A406" s="3">
        <v>41.0</v>
      </c>
      <c r="B406" s="3" t="s">
        <v>2163</v>
      </c>
      <c r="C406" s="3">
        <v>2001.0</v>
      </c>
      <c r="D406" s="3" t="s">
        <v>2164</v>
      </c>
      <c r="E406" s="62"/>
      <c r="F406" s="61"/>
      <c r="G406" s="60"/>
      <c r="H406" s="60"/>
      <c r="I406" s="60"/>
      <c r="J406" s="60" t="str">
        <f t="shared" si="13"/>
        <v>x</v>
      </c>
      <c r="K406" s="58"/>
      <c r="L406" s="58"/>
      <c r="M406" s="58"/>
      <c r="N406" s="58"/>
      <c r="O406" s="58"/>
      <c r="P406" s="58"/>
      <c r="R406" s="3" t="s">
        <v>185</v>
      </c>
    </row>
    <row r="407">
      <c r="A407" s="3">
        <v>41.0</v>
      </c>
      <c r="B407" s="3" t="s">
        <v>2165</v>
      </c>
      <c r="C407" s="3">
        <v>2001.0</v>
      </c>
      <c r="D407" s="3" t="s">
        <v>2166</v>
      </c>
      <c r="E407" s="62"/>
      <c r="F407" s="61"/>
      <c r="G407" s="60"/>
      <c r="H407" s="60"/>
      <c r="I407" s="60"/>
      <c r="J407" s="60" t="str">
        <f t="shared" si="13"/>
        <v>x</v>
      </c>
      <c r="K407" s="58"/>
      <c r="L407" s="58"/>
      <c r="M407" s="58"/>
      <c r="N407" s="58"/>
      <c r="O407" s="58"/>
      <c r="P407" s="58"/>
      <c r="R407" s="3" t="s">
        <v>185</v>
      </c>
    </row>
    <row r="408">
      <c r="A408" s="3">
        <v>41.0</v>
      </c>
      <c r="B408" s="3" t="s">
        <v>2167</v>
      </c>
      <c r="C408" s="3">
        <v>2009.0</v>
      </c>
      <c r="D408" s="3" t="s">
        <v>2168</v>
      </c>
      <c r="E408" s="62"/>
      <c r="F408" s="61"/>
      <c r="G408" s="60"/>
      <c r="H408" s="60"/>
      <c r="I408" s="60"/>
      <c r="J408" s="60" t="str">
        <f t="shared" si="13"/>
        <v>x</v>
      </c>
      <c r="K408" s="58"/>
      <c r="L408" s="58"/>
      <c r="M408" s="58"/>
      <c r="N408" s="58"/>
      <c r="O408" s="58"/>
      <c r="P408" s="58"/>
      <c r="R408" s="3" t="s">
        <v>185</v>
      </c>
    </row>
    <row r="409">
      <c r="A409" s="3">
        <v>41.0</v>
      </c>
      <c r="B409" s="3" t="s">
        <v>2169</v>
      </c>
      <c r="C409" s="3">
        <v>2014.0</v>
      </c>
      <c r="D409" s="3" t="s">
        <v>2170</v>
      </c>
      <c r="E409" s="36" t="s">
        <v>2171</v>
      </c>
      <c r="F409" s="61"/>
      <c r="G409" s="60"/>
      <c r="H409" s="61" t="s">
        <v>11</v>
      </c>
      <c r="I409" s="60"/>
      <c r="J409" s="60" t="str">
        <f t="shared" si="13"/>
        <v/>
      </c>
      <c r="K409" s="58"/>
      <c r="L409" s="58"/>
      <c r="M409" s="58"/>
      <c r="N409" s="58"/>
      <c r="O409" s="58"/>
      <c r="P409" s="58"/>
      <c r="R409" s="3" t="s">
        <v>185</v>
      </c>
    </row>
    <row r="410">
      <c r="A410" s="3">
        <v>41.0</v>
      </c>
      <c r="B410" s="3" t="s">
        <v>2172</v>
      </c>
      <c r="C410" s="3">
        <v>2015.0</v>
      </c>
      <c r="D410" s="3" t="s">
        <v>2173</v>
      </c>
      <c r="E410" s="36" t="s">
        <v>2174</v>
      </c>
      <c r="F410" s="61" t="s">
        <v>11</v>
      </c>
      <c r="G410" s="60"/>
      <c r="H410" s="60"/>
      <c r="I410" s="60"/>
      <c r="J410" s="60" t="str">
        <f t="shared" si="13"/>
        <v/>
      </c>
      <c r="K410" s="58"/>
      <c r="L410" s="58"/>
      <c r="M410" s="58"/>
      <c r="N410" s="58"/>
      <c r="O410" s="58"/>
      <c r="P410" s="58"/>
      <c r="R410" s="3" t="s">
        <v>185</v>
      </c>
    </row>
    <row r="411">
      <c r="A411" s="3">
        <v>41.0</v>
      </c>
      <c r="B411" s="3" t="s">
        <v>2175</v>
      </c>
      <c r="C411" s="3">
        <v>2014.0</v>
      </c>
      <c r="D411" s="3" t="s">
        <v>2176</v>
      </c>
      <c r="E411" s="36" t="s">
        <v>2177</v>
      </c>
      <c r="F411" s="61" t="s">
        <v>11</v>
      </c>
      <c r="G411" s="60"/>
      <c r="H411" s="61" t="s">
        <v>11</v>
      </c>
      <c r="I411" s="60"/>
      <c r="J411" s="60" t="str">
        <f t="shared" si="13"/>
        <v/>
      </c>
      <c r="K411" s="58"/>
      <c r="L411" s="58"/>
      <c r="M411" s="58"/>
      <c r="N411" s="58"/>
      <c r="O411" s="58"/>
      <c r="P411" s="58"/>
      <c r="R411" s="3" t="s">
        <v>185</v>
      </c>
    </row>
    <row r="412">
      <c r="A412" s="3">
        <v>41.0</v>
      </c>
      <c r="B412" s="3" t="s">
        <v>2178</v>
      </c>
      <c r="C412" s="3">
        <v>2010.0</v>
      </c>
      <c r="D412" s="3" t="s">
        <v>2179</v>
      </c>
      <c r="E412" s="62"/>
      <c r="F412" s="61"/>
      <c r="G412" s="60"/>
      <c r="H412" s="60"/>
      <c r="I412" s="60"/>
      <c r="J412" s="60" t="str">
        <f t="shared" si="13"/>
        <v>x</v>
      </c>
      <c r="K412" s="58"/>
      <c r="L412" s="58"/>
      <c r="M412" s="58"/>
      <c r="N412" s="58"/>
      <c r="O412" s="58"/>
      <c r="P412" s="58"/>
      <c r="R412" s="3" t="s">
        <v>185</v>
      </c>
    </row>
    <row r="413">
      <c r="A413" s="3">
        <v>41.0</v>
      </c>
      <c r="B413" s="3" t="s">
        <v>2180</v>
      </c>
      <c r="C413" s="3">
        <v>2008.0</v>
      </c>
      <c r="D413" s="3" t="s">
        <v>2181</v>
      </c>
      <c r="E413" s="62"/>
      <c r="F413" s="61"/>
      <c r="G413" s="60"/>
      <c r="H413" s="60"/>
      <c r="I413" s="60"/>
      <c r="J413" s="60" t="str">
        <f t="shared" si="13"/>
        <v>x</v>
      </c>
      <c r="K413" s="58"/>
      <c r="L413" s="58"/>
      <c r="M413" s="58"/>
      <c r="N413" s="58"/>
      <c r="O413" s="58"/>
      <c r="P413" s="58"/>
      <c r="R413" s="3" t="s">
        <v>185</v>
      </c>
    </row>
    <row r="414">
      <c r="A414" s="3">
        <v>41.0</v>
      </c>
      <c r="B414" s="3" t="s">
        <v>2182</v>
      </c>
      <c r="C414" s="3">
        <v>2001.0</v>
      </c>
      <c r="D414" s="3" t="s">
        <v>2183</v>
      </c>
      <c r="E414" s="62"/>
      <c r="F414" s="61"/>
      <c r="G414" s="60"/>
      <c r="H414" s="60"/>
      <c r="I414" s="60"/>
      <c r="J414" s="60" t="str">
        <f t="shared" si="13"/>
        <v>x</v>
      </c>
      <c r="K414" s="58"/>
      <c r="L414" s="58"/>
      <c r="M414" s="58"/>
      <c r="N414" s="58"/>
      <c r="O414" s="58"/>
      <c r="P414" s="58"/>
      <c r="R414" s="3" t="s">
        <v>185</v>
      </c>
    </row>
    <row r="415">
      <c r="A415" s="3">
        <v>41.0</v>
      </c>
      <c r="B415" s="3" t="s">
        <v>2184</v>
      </c>
      <c r="C415" s="3">
        <v>2001.0</v>
      </c>
      <c r="D415" s="3" t="s">
        <v>2185</v>
      </c>
      <c r="E415" s="62"/>
      <c r="F415" s="61"/>
      <c r="G415" s="60"/>
      <c r="H415" s="60"/>
      <c r="I415" s="60"/>
      <c r="J415" s="60" t="str">
        <f t="shared" si="13"/>
        <v>x</v>
      </c>
      <c r="K415" s="58"/>
      <c r="L415" s="58"/>
      <c r="M415" s="58"/>
      <c r="N415" s="58"/>
      <c r="O415" s="58"/>
      <c r="P415" s="58"/>
      <c r="R415" s="3" t="s">
        <v>185</v>
      </c>
    </row>
    <row r="416">
      <c r="A416" s="3">
        <v>41.0</v>
      </c>
      <c r="B416" s="3" t="s">
        <v>2186</v>
      </c>
      <c r="C416" s="3">
        <v>2013.0</v>
      </c>
      <c r="D416" s="3" t="s">
        <v>2187</v>
      </c>
      <c r="E416" s="62"/>
      <c r="F416" s="61"/>
      <c r="G416" s="60"/>
      <c r="H416" s="60"/>
      <c r="I416" s="60"/>
      <c r="J416" s="60" t="str">
        <f t="shared" si="13"/>
        <v/>
      </c>
      <c r="K416" s="58"/>
      <c r="L416" s="58"/>
      <c r="M416" s="59" t="s">
        <v>11</v>
      </c>
      <c r="N416" s="58"/>
      <c r="O416" s="58"/>
      <c r="P416" s="58"/>
      <c r="R416" s="3" t="s">
        <v>185</v>
      </c>
    </row>
    <row r="417">
      <c r="A417" s="3">
        <v>41.0</v>
      </c>
      <c r="B417" s="3" t="s">
        <v>2188</v>
      </c>
      <c r="C417" s="3">
        <v>2014.0</v>
      </c>
      <c r="D417" s="3" t="s">
        <v>2189</v>
      </c>
      <c r="E417" s="36" t="s">
        <v>2190</v>
      </c>
      <c r="F417" s="61" t="s">
        <v>11</v>
      </c>
      <c r="G417" s="60"/>
      <c r="H417" s="60"/>
      <c r="I417" s="60"/>
      <c r="J417" s="60" t="str">
        <f t="shared" si="13"/>
        <v/>
      </c>
      <c r="K417" s="58"/>
      <c r="L417" s="58"/>
      <c r="M417" s="58"/>
      <c r="N417" s="58"/>
      <c r="O417" s="58"/>
      <c r="P417" s="58"/>
      <c r="R417" s="3" t="s">
        <v>185</v>
      </c>
    </row>
    <row r="418">
      <c r="A418" s="3">
        <v>41.0</v>
      </c>
      <c r="B418" s="3" t="s">
        <v>2191</v>
      </c>
      <c r="C418" s="3">
        <v>2010.0</v>
      </c>
      <c r="D418" s="3" t="s">
        <v>2192</v>
      </c>
      <c r="E418" s="62"/>
      <c r="F418" s="61"/>
      <c r="G418" s="60"/>
      <c r="H418" s="60"/>
      <c r="I418" s="60"/>
      <c r="J418" s="60" t="str">
        <f t="shared" si="13"/>
        <v>x</v>
      </c>
      <c r="K418" s="58"/>
      <c r="L418" s="58"/>
      <c r="M418" s="58"/>
      <c r="N418" s="58"/>
      <c r="O418" s="58"/>
      <c r="P418" s="58"/>
      <c r="R418" s="3" t="s">
        <v>185</v>
      </c>
    </row>
    <row r="419">
      <c r="A419" s="3">
        <v>41.0</v>
      </c>
      <c r="B419" s="3" t="s">
        <v>2193</v>
      </c>
      <c r="C419" s="3">
        <v>2013.0</v>
      </c>
      <c r="D419" s="3" t="s">
        <v>2194</v>
      </c>
      <c r="E419" s="36" t="s">
        <v>2195</v>
      </c>
      <c r="F419" s="61" t="s">
        <v>11</v>
      </c>
      <c r="G419" s="60"/>
      <c r="H419" s="60"/>
      <c r="I419" s="60"/>
      <c r="J419" s="60" t="str">
        <f t="shared" si="13"/>
        <v/>
      </c>
      <c r="K419" s="58"/>
      <c r="L419" s="58"/>
      <c r="M419" s="58"/>
      <c r="N419" s="58"/>
      <c r="O419" s="58"/>
      <c r="P419" s="58"/>
      <c r="R419" s="3" t="s">
        <v>185</v>
      </c>
    </row>
    <row r="420">
      <c r="A420" s="3">
        <v>41.0</v>
      </c>
      <c r="B420" s="3" t="s">
        <v>2196</v>
      </c>
      <c r="C420" s="3">
        <v>2011.0</v>
      </c>
      <c r="D420" s="3" t="s">
        <v>2197</v>
      </c>
      <c r="E420" s="36" t="s">
        <v>2198</v>
      </c>
      <c r="F420" s="61" t="s">
        <v>11</v>
      </c>
      <c r="G420" s="60"/>
      <c r="H420" s="60"/>
      <c r="I420" s="60"/>
      <c r="J420" s="60" t="str">
        <f t="shared" si="13"/>
        <v/>
      </c>
      <c r="K420" s="58"/>
      <c r="L420" s="58"/>
      <c r="M420" s="58"/>
      <c r="N420" s="58"/>
      <c r="O420" s="58"/>
      <c r="P420" s="58"/>
      <c r="R420" s="3" t="s">
        <v>185</v>
      </c>
    </row>
    <row r="421">
      <c r="A421" s="3">
        <v>41.0</v>
      </c>
      <c r="B421" s="3" t="s">
        <v>2199</v>
      </c>
      <c r="C421" s="3">
        <v>2009.0</v>
      </c>
      <c r="D421" s="3" t="s">
        <v>2200</v>
      </c>
      <c r="E421" s="62"/>
      <c r="F421" s="61"/>
      <c r="G421" s="60"/>
      <c r="H421" s="60"/>
      <c r="I421" s="60"/>
      <c r="J421" s="60" t="str">
        <f t="shared" si="13"/>
        <v>x</v>
      </c>
      <c r="K421" s="58"/>
      <c r="L421" s="58"/>
      <c r="M421" s="58"/>
      <c r="N421" s="58"/>
      <c r="O421" s="58"/>
      <c r="P421" s="58"/>
      <c r="R421" s="3" t="s">
        <v>185</v>
      </c>
    </row>
    <row r="422">
      <c r="A422" s="3">
        <v>41.0</v>
      </c>
      <c r="B422" s="3" t="s">
        <v>2201</v>
      </c>
      <c r="C422" s="3">
        <v>2012.0</v>
      </c>
      <c r="D422" s="3" t="s">
        <v>2202</v>
      </c>
      <c r="E422" s="36" t="s">
        <v>2203</v>
      </c>
      <c r="F422" s="61"/>
      <c r="G422" s="60"/>
      <c r="H422" s="60"/>
      <c r="I422" s="61" t="s">
        <v>11</v>
      </c>
      <c r="J422" s="60" t="str">
        <f t="shared" si="13"/>
        <v/>
      </c>
      <c r="K422" s="58"/>
      <c r="L422" s="58"/>
      <c r="M422" s="58"/>
      <c r="N422" s="58"/>
      <c r="O422" s="58"/>
      <c r="P422" s="58"/>
      <c r="R422" s="3" t="s">
        <v>185</v>
      </c>
    </row>
    <row r="423">
      <c r="A423" s="3">
        <v>41.0</v>
      </c>
      <c r="B423" s="3" t="s">
        <v>2204</v>
      </c>
      <c r="C423" s="3">
        <v>2009.0</v>
      </c>
      <c r="D423" s="3" t="s">
        <v>2205</v>
      </c>
      <c r="E423" s="62"/>
      <c r="F423" s="61"/>
      <c r="G423" s="60"/>
      <c r="H423" s="60"/>
      <c r="I423" s="60"/>
      <c r="J423" s="60" t="str">
        <f t="shared" si="13"/>
        <v>x</v>
      </c>
      <c r="K423" s="58"/>
      <c r="L423" s="58"/>
      <c r="M423" s="58"/>
      <c r="N423" s="58"/>
      <c r="O423" s="58"/>
      <c r="P423" s="58"/>
      <c r="R423" s="3" t="s">
        <v>185</v>
      </c>
    </row>
    <row r="424">
      <c r="A424" s="3">
        <v>41.0</v>
      </c>
      <c r="B424" s="3" t="s">
        <v>2206</v>
      </c>
      <c r="C424" s="3">
        <v>2008.0</v>
      </c>
      <c r="D424" s="3" t="s">
        <v>2207</v>
      </c>
      <c r="E424" s="62"/>
      <c r="F424" s="61"/>
      <c r="G424" s="60"/>
      <c r="H424" s="60"/>
      <c r="I424" s="60"/>
      <c r="J424" s="60" t="str">
        <f t="shared" si="13"/>
        <v>x</v>
      </c>
      <c r="K424" s="58"/>
      <c r="L424" s="58"/>
      <c r="M424" s="58"/>
      <c r="N424" s="58"/>
      <c r="O424" s="58"/>
      <c r="P424" s="58"/>
      <c r="R424" s="3" t="s">
        <v>185</v>
      </c>
    </row>
    <row r="425">
      <c r="A425" s="3">
        <v>41.0</v>
      </c>
      <c r="B425" s="3" t="s">
        <v>2208</v>
      </c>
      <c r="C425" s="3">
        <v>2015.0</v>
      </c>
      <c r="D425" s="3" t="s">
        <v>2209</v>
      </c>
      <c r="E425" s="36" t="s">
        <v>2210</v>
      </c>
      <c r="F425" s="61"/>
      <c r="G425" s="60"/>
      <c r="H425" s="60"/>
      <c r="I425" s="61" t="s">
        <v>11</v>
      </c>
      <c r="J425" s="60" t="str">
        <f t="shared" si="13"/>
        <v/>
      </c>
      <c r="K425" s="58"/>
      <c r="L425" s="58"/>
      <c r="M425" s="58"/>
      <c r="N425" s="58"/>
      <c r="O425" s="58"/>
      <c r="P425" s="58"/>
      <c r="R425" s="3" t="s">
        <v>185</v>
      </c>
    </row>
    <row r="426">
      <c r="A426" s="3">
        <v>41.0</v>
      </c>
      <c r="B426" s="3" t="s">
        <v>2211</v>
      </c>
      <c r="C426" s="3">
        <v>2014.0</v>
      </c>
      <c r="D426" s="3" t="s">
        <v>2212</v>
      </c>
      <c r="E426" s="36" t="s">
        <v>2213</v>
      </c>
      <c r="F426" s="61"/>
      <c r="G426" s="60"/>
      <c r="H426" s="60"/>
      <c r="I426" s="61" t="s">
        <v>11</v>
      </c>
      <c r="J426" s="60" t="str">
        <f t="shared" si="13"/>
        <v/>
      </c>
      <c r="K426" s="58"/>
      <c r="L426" s="58"/>
      <c r="M426" s="58"/>
      <c r="N426" s="58"/>
      <c r="O426" s="58"/>
      <c r="P426" s="58"/>
      <c r="R426" s="3" t="s">
        <v>185</v>
      </c>
    </row>
    <row r="427">
      <c r="A427" s="3">
        <v>41.0</v>
      </c>
      <c r="B427" s="3" t="s">
        <v>2214</v>
      </c>
      <c r="C427" s="3">
        <v>2003.0</v>
      </c>
      <c r="D427" s="3" t="s">
        <v>2215</v>
      </c>
      <c r="E427" s="62"/>
      <c r="F427" s="61"/>
      <c r="G427" s="60"/>
      <c r="H427" s="60"/>
      <c r="I427" s="60"/>
      <c r="J427" s="60" t="str">
        <f t="shared" si="13"/>
        <v>x</v>
      </c>
      <c r="K427" s="58"/>
      <c r="L427" s="58"/>
      <c r="M427" s="58"/>
      <c r="N427" s="58"/>
      <c r="O427" s="58"/>
      <c r="P427" s="58"/>
      <c r="R427" s="3" t="s">
        <v>185</v>
      </c>
    </row>
    <row r="428">
      <c r="A428" s="3">
        <v>41.0</v>
      </c>
      <c r="B428" s="3" t="s">
        <v>2216</v>
      </c>
      <c r="C428" s="3">
        <v>2009.0</v>
      </c>
      <c r="D428" s="3" t="s">
        <v>2217</v>
      </c>
      <c r="E428" s="62"/>
      <c r="F428" s="61"/>
      <c r="G428" s="60"/>
      <c r="H428" s="60"/>
      <c r="I428" s="60"/>
      <c r="J428" s="60" t="str">
        <f t="shared" si="13"/>
        <v>x</v>
      </c>
      <c r="K428" s="58"/>
      <c r="L428" s="58"/>
      <c r="M428" s="58"/>
      <c r="N428" s="58"/>
      <c r="O428" s="58"/>
      <c r="P428" s="58"/>
      <c r="R428" s="3" t="s">
        <v>185</v>
      </c>
    </row>
    <row r="429">
      <c r="A429" s="3">
        <v>41.0</v>
      </c>
      <c r="B429" s="3" t="s">
        <v>2218</v>
      </c>
      <c r="C429" s="3">
        <v>2009.0</v>
      </c>
      <c r="D429" s="3" t="s">
        <v>2217</v>
      </c>
      <c r="E429" s="62"/>
      <c r="F429" s="61"/>
      <c r="G429" s="60"/>
      <c r="H429" s="60"/>
      <c r="I429" s="60"/>
      <c r="J429" s="60" t="str">
        <f t="shared" si="13"/>
        <v>x</v>
      </c>
      <c r="K429" s="58"/>
      <c r="L429" s="58"/>
      <c r="M429" s="58"/>
      <c r="N429" s="58"/>
      <c r="O429" s="58"/>
      <c r="P429" s="58"/>
      <c r="R429" s="3" t="s">
        <v>185</v>
      </c>
    </row>
    <row r="430">
      <c r="A430" s="3">
        <v>41.0</v>
      </c>
      <c r="B430" s="3" t="s">
        <v>2219</v>
      </c>
      <c r="C430" s="3">
        <v>2014.0</v>
      </c>
      <c r="D430" s="3" t="s">
        <v>2220</v>
      </c>
      <c r="E430" s="36" t="s">
        <v>2221</v>
      </c>
      <c r="F430" s="61" t="s">
        <v>324</v>
      </c>
      <c r="G430" s="60"/>
      <c r="H430" s="61" t="s">
        <v>324</v>
      </c>
      <c r="I430" s="60"/>
      <c r="J430" s="60" t="str">
        <f t="shared" si="13"/>
        <v/>
      </c>
      <c r="K430" s="59" t="s">
        <v>11</v>
      </c>
      <c r="L430" s="58"/>
      <c r="M430" s="58"/>
      <c r="N430" s="58"/>
      <c r="O430" s="58"/>
      <c r="P430" s="58"/>
      <c r="R430" s="3" t="s">
        <v>185</v>
      </c>
      <c r="S430" s="3" t="s">
        <v>2222</v>
      </c>
    </row>
    <row r="431">
      <c r="A431" s="3">
        <v>41.0</v>
      </c>
      <c r="B431" s="3" t="s">
        <v>2223</v>
      </c>
      <c r="C431" s="3">
        <v>2006.0</v>
      </c>
      <c r="D431" s="3" t="s">
        <v>2224</v>
      </c>
      <c r="E431" s="62"/>
      <c r="F431" s="61"/>
      <c r="G431" s="60"/>
      <c r="H431" s="60"/>
      <c r="I431" s="60"/>
      <c r="J431" s="60" t="str">
        <f t="shared" si="13"/>
        <v>x</v>
      </c>
      <c r="K431" s="58"/>
      <c r="L431" s="58"/>
      <c r="M431" s="58"/>
      <c r="N431" s="58"/>
      <c r="O431" s="58"/>
      <c r="P431" s="58"/>
      <c r="R431" s="3" t="s">
        <v>185</v>
      </c>
    </row>
    <row r="432">
      <c r="A432" s="3">
        <v>41.0</v>
      </c>
      <c r="B432" s="3" t="s">
        <v>2225</v>
      </c>
      <c r="C432" s="3">
        <v>2004.0</v>
      </c>
      <c r="D432" s="3" t="s">
        <v>2226</v>
      </c>
      <c r="E432" s="62"/>
      <c r="F432" s="61"/>
      <c r="G432" s="60"/>
      <c r="H432" s="60"/>
      <c r="I432" s="60"/>
      <c r="J432" s="60" t="str">
        <f t="shared" si="13"/>
        <v>x</v>
      </c>
      <c r="K432" s="58"/>
      <c r="L432" s="58"/>
      <c r="M432" s="58"/>
      <c r="N432" s="58"/>
      <c r="O432" s="58"/>
      <c r="P432" s="58"/>
      <c r="R432" s="3" t="s">
        <v>185</v>
      </c>
    </row>
    <row r="433">
      <c r="A433" s="3">
        <v>41.0</v>
      </c>
      <c r="B433" s="3" t="s">
        <v>2227</v>
      </c>
      <c r="C433" s="3">
        <v>2004.0</v>
      </c>
      <c r="D433" s="3" t="s">
        <v>2228</v>
      </c>
      <c r="E433" s="62"/>
      <c r="F433" s="61"/>
      <c r="G433" s="60"/>
      <c r="H433" s="60"/>
      <c r="I433" s="60"/>
      <c r="J433" s="60" t="str">
        <f t="shared" si="13"/>
        <v>x</v>
      </c>
      <c r="K433" s="58"/>
      <c r="L433" s="58"/>
      <c r="M433" s="58"/>
      <c r="N433" s="58"/>
      <c r="O433" s="58"/>
      <c r="P433" s="58"/>
      <c r="R433" s="3" t="s">
        <v>185</v>
      </c>
    </row>
    <row r="434">
      <c r="A434" s="3">
        <v>41.0</v>
      </c>
      <c r="B434" s="3" t="s">
        <v>2229</v>
      </c>
      <c r="C434" s="3">
        <v>2011.0</v>
      </c>
      <c r="D434" s="3" t="s">
        <v>2230</v>
      </c>
      <c r="E434" s="35" t="s">
        <v>2231</v>
      </c>
      <c r="F434" s="61" t="s">
        <v>11</v>
      </c>
      <c r="G434" s="60"/>
      <c r="H434" s="60"/>
      <c r="I434" s="60"/>
      <c r="J434" s="60" t="str">
        <f t="shared" si="13"/>
        <v/>
      </c>
      <c r="K434" s="58"/>
      <c r="L434" s="58"/>
      <c r="M434" s="58"/>
      <c r="N434" s="58"/>
      <c r="O434" s="58"/>
      <c r="P434" s="58"/>
      <c r="R434" s="3" t="s">
        <v>185</v>
      </c>
      <c r="S434" s="3" t="s">
        <v>2232</v>
      </c>
    </row>
    <row r="435">
      <c r="A435" s="3">
        <v>41.0</v>
      </c>
      <c r="B435" s="3" t="s">
        <v>2233</v>
      </c>
      <c r="C435" s="3">
        <v>1997.0</v>
      </c>
      <c r="D435" s="3" t="s">
        <v>2234</v>
      </c>
      <c r="E435" s="62"/>
      <c r="F435" s="61"/>
      <c r="G435" s="60"/>
      <c r="H435" s="60"/>
      <c r="I435" s="60"/>
      <c r="J435" s="60" t="str">
        <f t="shared" si="13"/>
        <v>x</v>
      </c>
      <c r="K435" s="58"/>
      <c r="L435" s="58"/>
      <c r="M435" s="58"/>
      <c r="N435" s="58"/>
      <c r="O435" s="58"/>
      <c r="P435" s="58"/>
      <c r="R435" s="3" t="s">
        <v>185</v>
      </c>
    </row>
    <row r="436">
      <c r="A436" s="3">
        <v>41.0</v>
      </c>
      <c r="B436" s="3" t="s">
        <v>2235</v>
      </c>
      <c r="C436" s="3">
        <v>2013.0</v>
      </c>
      <c r="D436" s="3" t="s">
        <v>2236</v>
      </c>
      <c r="E436" s="35" t="s">
        <v>2237</v>
      </c>
      <c r="F436" s="61" t="s">
        <v>11</v>
      </c>
      <c r="G436" s="60"/>
      <c r="H436" s="60"/>
      <c r="I436" s="60"/>
      <c r="J436" s="60" t="str">
        <f t="shared" si="13"/>
        <v/>
      </c>
      <c r="K436" s="58"/>
      <c r="L436" s="58"/>
      <c r="M436" s="58"/>
      <c r="N436" s="58"/>
      <c r="O436" s="58"/>
      <c r="P436" s="58"/>
      <c r="R436" s="3" t="s">
        <v>185</v>
      </c>
    </row>
    <row r="437">
      <c r="A437" s="3">
        <v>41.0</v>
      </c>
      <c r="B437" s="3" t="s">
        <v>2238</v>
      </c>
      <c r="C437" s="3">
        <v>2008.0</v>
      </c>
      <c r="D437" s="3" t="s">
        <v>2239</v>
      </c>
      <c r="E437" s="62"/>
      <c r="F437" s="61"/>
      <c r="G437" s="60"/>
      <c r="H437" s="60"/>
      <c r="I437" s="60"/>
      <c r="J437" s="60" t="str">
        <f t="shared" si="13"/>
        <v>x</v>
      </c>
      <c r="K437" s="58"/>
      <c r="L437" s="58"/>
      <c r="M437" s="58"/>
      <c r="N437" s="58"/>
      <c r="O437" s="58"/>
      <c r="P437" s="58"/>
      <c r="R437" s="3" t="s">
        <v>185</v>
      </c>
    </row>
    <row r="438">
      <c r="E438" s="62"/>
    </row>
    <row r="439">
      <c r="E439" s="62"/>
    </row>
    <row r="440">
      <c r="E440" s="62"/>
    </row>
    <row r="441">
      <c r="E441" s="62"/>
    </row>
    <row r="442">
      <c r="E442" s="62"/>
    </row>
    <row r="443">
      <c r="E443" s="62"/>
    </row>
    <row r="444">
      <c r="E444" s="62"/>
    </row>
    <row r="445">
      <c r="E445" s="62"/>
    </row>
    <row r="446">
      <c r="E446" s="62"/>
    </row>
    <row r="447">
      <c r="E447" s="62"/>
    </row>
    <row r="448">
      <c r="E448" s="62"/>
    </row>
    <row r="449">
      <c r="E449" s="62"/>
    </row>
    <row r="450">
      <c r="E450" s="62"/>
    </row>
    <row r="451">
      <c r="E451" s="62"/>
    </row>
    <row r="452">
      <c r="E452" s="62"/>
    </row>
    <row r="453">
      <c r="E453" s="62"/>
    </row>
    <row r="454">
      <c r="E454" s="62"/>
    </row>
    <row r="455">
      <c r="E455" s="62"/>
    </row>
    <row r="456">
      <c r="E456" s="62"/>
    </row>
    <row r="457">
      <c r="E457" s="62"/>
    </row>
    <row r="458">
      <c r="E458" s="62"/>
    </row>
    <row r="459">
      <c r="E459" s="62"/>
    </row>
    <row r="460">
      <c r="E460" s="62"/>
    </row>
    <row r="461">
      <c r="E461" s="62"/>
    </row>
    <row r="462">
      <c r="E462" s="62"/>
    </row>
    <row r="463">
      <c r="E463" s="62"/>
    </row>
    <row r="464">
      <c r="E464" s="62"/>
    </row>
    <row r="465">
      <c r="E465" s="62"/>
    </row>
    <row r="466">
      <c r="E466" s="62"/>
    </row>
    <row r="467">
      <c r="E467" s="62"/>
    </row>
    <row r="468">
      <c r="E468" s="62"/>
    </row>
    <row r="469">
      <c r="E469" s="62"/>
    </row>
    <row r="470">
      <c r="E470" s="62"/>
    </row>
    <row r="471">
      <c r="E471" s="62"/>
    </row>
    <row r="472">
      <c r="E472" s="62"/>
    </row>
    <row r="473">
      <c r="E473" s="62"/>
    </row>
    <row r="474">
      <c r="E474" s="62"/>
    </row>
    <row r="475">
      <c r="E475" s="62"/>
    </row>
    <row r="476">
      <c r="E476" s="62"/>
    </row>
    <row r="477">
      <c r="E477" s="62"/>
    </row>
    <row r="478">
      <c r="E478" s="62"/>
    </row>
    <row r="479">
      <c r="E479" s="62"/>
    </row>
    <row r="480">
      <c r="E480" s="62"/>
    </row>
    <row r="481">
      <c r="E481" s="62"/>
    </row>
    <row r="482">
      <c r="E482" s="62"/>
    </row>
    <row r="483">
      <c r="E483" s="62"/>
    </row>
    <row r="484">
      <c r="E484" s="62"/>
    </row>
    <row r="485">
      <c r="E485" s="62"/>
    </row>
    <row r="486">
      <c r="E486" s="62"/>
    </row>
    <row r="487">
      <c r="E487" s="62"/>
    </row>
    <row r="488">
      <c r="E488" s="62"/>
    </row>
    <row r="489">
      <c r="E489" s="62"/>
    </row>
    <row r="490">
      <c r="E490" s="62"/>
    </row>
    <row r="491">
      <c r="E491" s="62"/>
    </row>
    <row r="492">
      <c r="E492" s="62"/>
    </row>
    <row r="493">
      <c r="E493" s="62"/>
    </row>
    <row r="494">
      <c r="E494" s="62"/>
    </row>
    <row r="495">
      <c r="E495" s="62"/>
    </row>
    <row r="496">
      <c r="E496" s="62"/>
    </row>
    <row r="497">
      <c r="E497" s="62"/>
    </row>
    <row r="498">
      <c r="E498" s="62"/>
    </row>
    <row r="499">
      <c r="E499" s="62"/>
    </row>
    <row r="500">
      <c r="E500" s="62"/>
    </row>
    <row r="501">
      <c r="E501" s="62"/>
    </row>
    <row r="502">
      <c r="E502" s="62"/>
    </row>
    <row r="503">
      <c r="E503" s="62"/>
    </row>
    <row r="504">
      <c r="E504" s="62"/>
    </row>
    <row r="505">
      <c r="E505" s="62"/>
    </row>
    <row r="506">
      <c r="E506" s="62"/>
    </row>
    <row r="507">
      <c r="E507" s="62"/>
    </row>
    <row r="508">
      <c r="E508" s="62"/>
    </row>
    <row r="509">
      <c r="E509" s="62"/>
    </row>
    <row r="510">
      <c r="E510" s="62"/>
    </row>
    <row r="511">
      <c r="E511" s="62"/>
    </row>
    <row r="512">
      <c r="E512" s="62"/>
    </row>
    <row r="513">
      <c r="E513" s="62"/>
    </row>
    <row r="514">
      <c r="E514" s="62"/>
    </row>
    <row r="515">
      <c r="E515" s="62"/>
    </row>
    <row r="516">
      <c r="E516" s="62"/>
    </row>
    <row r="517">
      <c r="E517" s="62"/>
    </row>
    <row r="518">
      <c r="E518" s="62"/>
    </row>
    <row r="519">
      <c r="E519" s="62"/>
    </row>
    <row r="520">
      <c r="E520" s="62"/>
    </row>
    <row r="521">
      <c r="E521" s="62"/>
    </row>
    <row r="522">
      <c r="E522" s="62"/>
    </row>
    <row r="523">
      <c r="E523" s="62"/>
    </row>
    <row r="524">
      <c r="E524" s="62"/>
    </row>
    <row r="525">
      <c r="E525" s="62"/>
    </row>
    <row r="526">
      <c r="E526" s="62"/>
    </row>
    <row r="527">
      <c r="E527" s="62"/>
    </row>
    <row r="528">
      <c r="E528" s="62"/>
    </row>
    <row r="529">
      <c r="E529" s="62"/>
    </row>
    <row r="530">
      <c r="E530" s="62"/>
    </row>
    <row r="531">
      <c r="E531" s="62"/>
    </row>
    <row r="532">
      <c r="E532" s="62"/>
    </row>
    <row r="533">
      <c r="E533" s="62"/>
    </row>
    <row r="534">
      <c r="E534" s="62"/>
    </row>
    <row r="535">
      <c r="E535" s="62"/>
    </row>
    <row r="536">
      <c r="E536" s="62"/>
    </row>
    <row r="537">
      <c r="E537" s="62"/>
    </row>
    <row r="538">
      <c r="E538" s="62"/>
    </row>
    <row r="539">
      <c r="E539" s="62"/>
    </row>
    <row r="540">
      <c r="E540" s="62"/>
    </row>
    <row r="541">
      <c r="E541" s="62"/>
    </row>
    <row r="542">
      <c r="E542" s="62"/>
    </row>
    <row r="543">
      <c r="E543" s="62"/>
    </row>
    <row r="544">
      <c r="E544" s="62"/>
    </row>
    <row r="545">
      <c r="E545" s="62"/>
    </row>
    <row r="546">
      <c r="E546" s="62"/>
    </row>
    <row r="547">
      <c r="E547" s="62"/>
    </row>
    <row r="548">
      <c r="E548" s="62"/>
    </row>
    <row r="549">
      <c r="E549" s="62"/>
    </row>
    <row r="550">
      <c r="E550" s="62"/>
    </row>
    <row r="551">
      <c r="E551" s="62"/>
    </row>
    <row r="552">
      <c r="E552" s="62"/>
    </row>
    <row r="553">
      <c r="E553" s="62"/>
    </row>
    <row r="554">
      <c r="E554" s="62"/>
    </row>
    <row r="555">
      <c r="E555" s="62"/>
    </row>
    <row r="556">
      <c r="E556" s="62"/>
    </row>
    <row r="557">
      <c r="E557" s="62"/>
    </row>
    <row r="558">
      <c r="E558" s="62"/>
    </row>
    <row r="559">
      <c r="E559" s="62"/>
    </row>
    <row r="560">
      <c r="E560" s="62"/>
    </row>
    <row r="561">
      <c r="E561" s="62"/>
    </row>
    <row r="562">
      <c r="E562" s="62"/>
    </row>
    <row r="563">
      <c r="E563" s="62"/>
    </row>
    <row r="564">
      <c r="E564" s="62"/>
    </row>
    <row r="565">
      <c r="E565" s="62"/>
    </row>
    <row r="566">
      <c r="E566" s="62"/>
    </row>
    <row r="567">
      <c r="E567" s="62"/>
    </row>
    <row r="568">
      <c r="E568" s="62"/>
    </row>
    <row r="569">
      <c r="E569" s="62"/>
    </row>
    <row r="570">
      <c r="E570" s="62"/>
    </row>
    <row r="571">
      <c r="E571" s="62"/>
    </row>
    <row r="572">
      <c r="E572" s="62"/>
    </row>
    <row r="573">
      <c r="E573" s="62"/>
    </row>
    <row r="574">
      <c r="E574" s="62"/>
    </row>
    <row r="575">
      <c r="E575" s="62"/>
    </row>
    <row r="576">
      <c r="E576" s="62"/>
    </row>
    <row r="577">
      <c r="E577" s="62"/>
    </row>
    <row r="578">
      <c r="E578" s="62"/>
    </row>
    <row r="579">
      <c r="E579" s="62"/>
    </row>
    <row r="580">
      <c r="E580" s="62"/>
    </row>
    <row r="581">
      <c r="E581" s="62"/>
    </row>
    <row r="582">
      <c r="E582" s="62"/>
    </row>
    <row r="583">
      <c r="E583" s="62"/>
    </row>
    <row r="584">
      <c r="E584" s="62"/>
    </row>
    <row r="585">
      <c r="E585" s="62"/>
    </row>
    <row r="586">
      <c r="E586" s="62"/>
    </row>
    <row r="587">
      <c r="E587" s="62"/>
    </row>
    <row r="588">
      <c r="E588" s="62"/>
    </row>
    <row r="589">
      <c r="E589" s="62"/>
    </row>
    <row r="590">
      <c r="E590" s="62"/>
    </row>
    <row r="591">
      <c r="E591" s="62"/>
    </row>
    <row r="592">
      <c r="E592" s="62"/>
    </row>
    <row r="593">
      <c r="E593" s="62"/>
    </row>
    <row r="594">
      <c r="E594" s="62"/>
    </row>
    <row r="595">
      <c r="E595" s="62"/>
    </row>
    <row r="596">
      <c r="E596" s="62"/>
    </row>
    <row r="597">
      <c r="E597" s="62"/>
    </row>
    <row r="598">
      <c r="E598" s="62"/>
    </row>
    <row r="599">
      <c r="E599" s="62"/>
    </row>
    <row r="600">
      <c r="E600" s="62"/>
    </row>
    <row r="601">
      <c r="E601" s="62"/>
    </row>
    <row r="602">
      <c r="E602" s="62"/>
    </row>
    <row r="603">
      <c r="E603" s="62"/>
    </row>
    <row r="604">
      <c r="E604" s="62"/>
    </row>
    <row r="605">
      <c r="E605" s="62"/>
    </row>
    <row r="606">
      <c r="E606" s="62"/>
    </row>
    <row r="607">
      <c r="E607" s="62"/>
    </row>
    <row r="608">
      <c r="E608" s="62"/>
    </row>
    <row r="609">
      <c r="E609" s="62"/>
    </row>
    <row r="610">
      <c r="E610" s="62"/>
    </row>
    <row r="611">
      <c r="E611" s="62"/>
    </row>
    <row r="612">
      <c r="E612" s="62"/>
    </row>
    <row r="613">
      <c r="E613" s="62"/>
    </row>
    <row r="614">
      <c r="E614" s="62"/>
    </row>
    <row r="615">
      <c r="E615" s="62"/>
    </row>
    <row r="616">
      <c r="E616" s="62"/>
    </row>
    <row r="617">
      <c r="E617" s="62"/>
    </row>
    <row r="618">
      <c r="E618" s="62"/>
    </row>
    <row r="619">
      <c r="E619" s="62"/>
    </row>
    <row r="620">
      <c r="E620" s="62"/>
    </row>
    <row r="621">
      <c r="E621" s="62"/>
    </row>
    <row r="622">
      <c r="E622" s="62"/>
    </row>
    <row r="623">
      <c r="E623" s="62"/>
    </row>
    <row r="624">
      <c r="E624" s="62"/>
    </row>
    <row r="625">
      <c r="E625" s="62"/>
    </row>
    <row r="626">
      <c r="E626" s="62"/>
    </row>
    <row r="627">
      <c r="E627" s="62"/>
    </row>
    <row r="628">
      <c r="E628" s="62"/>
    </row>
    <row r="629">
      <c r="E629" s="62"/>
    </row>
    <row r="630">
      <c r="E630" s="62"/>
    </row>
    <row r="631">
      <c r="E631" s="62"/>
    </row>
    <row r="632">
      <c r="E632" s="62"/>
    </row>
    <row r="633">
      <c r="E633" s="62"/>
    </row>
    <row r="634">
      <c r="E634" s="62"/>
    </row>
    <row r="635">
      <c r="E635" s="62"/>
    </row>
    <row r="636">
      <c r="E636" s="62"/>
    </row>
    <row r="637">
      <c r="E637" s="62"/>
    </row>
    <row r="638">
      <c r="E638" s="62"/>
    </row>
    <row r="639">
      <c r="E639" s="62"/>
    </row>
    <row r="640">
      <c r="E640" s="62"/>
    </row>
    <row r="641">
      <c r="E641" s="62"/>
    </row>
    <row r="642">
      <c r="E642" s="62"/>
    </row>
    <row r="643">
      <c r="E643" s="62"/>
    </row>
    <row r="644">
      <c r="E644" s="62"/>
    </row>
    <row r="645">
      <c r="E645" s="62"/>
    </row>
    <row r="646">
      <c r="E646" s="62"/>
    </row>
    <row r="647">
      <c r="E647" s="62"/>
    </row>
    <row r="648">
      <c r="E648" s="62"/>
    </row>
    <row r="649">
      <c r="E649" s="62"/>
    </row>
    <row r="650">
      <c r="E650" s="62"/>
    </row>
    <row r="651">
      <c r="E651" s="62"/>
    </row>
    <row r="652">
      <c r="E652" s="62"/>
    </row>
    <row r="653">
      <c r="E653" s="62"/>
    </row>
    <row r="654">
      <c r="E654" s="62"/>
    </row>
    <row r="655">
      <c r="E655" s="62"/>
    </row>
    <row r="656">
      <c r="E656" s="62"/>
    </row>
    <row r="657">
      <c r="E657" s="62"/>
    </row>
    <row r="658">
      <c r="E658" s="62"/>
    </row>
    <row r="659">
      <c r="E659" s="62"/>
    </row>
    <row r="660">
      <c r="E660" s="62"/>
    </row>
    <row r="661">
      <c r="E661" s="62"/>
    </row>
    <row r="662">
      <c r="E662" s="62"/>
    </row>
    <row r="663">
      <c r="E663" s="62"/>
    </row>
    <row r="664">
      <c r="E664" s="62"/>
    </row>
    <row r="665">
      <c r="E665" s="62"/>
    </row>
    <row r="666">
      <c r="E666" s="62"/>
    </row>
    <row r="667">
      <c r="E667" s="62"/>
    </row>
    <row r="668">
      <c r="E668" s="62"/>
    </row>
    <row r="669">
      <c r="E669" s="62"/>
    </row>
    <row r="670">
      <c r="E670" s="62"/>
    </row>
    <row r="671">
      <c r="E671" s="62"/>
    </row>
    <row r="672">
      <c r="E672" s="62"/>
    </row>
    <row r="673">
      <c r="E673" s="62"/>
    </row>
    <row r="674">
      <c r="E674" s="62"/>
    </row>
    <row r="675">
      <c r="E675" s="62"/>
    </row>
    <row r="676">
      <c r="E676" s="62"/>
    </row>
    <row r="677">
      <c r="E677" s="62"/>
    </row>
    <row r="678">
      <c r="E678" s="62"/>
    </row>
    <row r="679">
      <c r="E679" s="62"/>
    </row>
    <row r="680">
      <c r="E680" s="62"/>
    </row>
    <row r="681">
      <c r="E681" s="62"/>
    </row>
    <row r="682">
      <c r="E682" s="62"/>
    </row>
    <row r="683">
      <c r="E683" s="62"/>
    </row>
    <row r="684">
      <c r="E684" s="62"/>
    </row>
    <row r="685">
      <c r="E685" s="62"/>
    </row>
    <row r="686">
      <c r="E686" s="62"/>
    </row>
    <row r="687">
      <c r="E687" s="62"/>
    </row>
    <row r="688">
      <c r="E688" s="62"/>
    </row>
    <row r="689">
      <c r="E689" s="62"/>
    </row>
    <row r="690">
      <c r="E690" s="62"/>
    </row>
    <row r="691">
      <c r="E691" s="62"/>
    </row>
    <row r="692">
      <c r="E692" s="62"/>
    </row>
    <row r="693">
      <c r="E693" s="62"/>
    </row>
    <row r="694">
      <c r="E694" s="62"/>
    </row>
    <row r="695">
      <c r="E695" s="62"/>
    </row>
    <row r="696">
      <c r="E696" s="62"/>
    </row>
    <row r="697">
      <c r="E697" s="62"/>
    </row>
    <row r="698">
      <c r="E698" s="62"/>
    </row>
    <row r="699">
      <c r="E699" s="62"/>
    </row>
    <row r="700">
      <c r="E700" s="62"/>
    </row>
    <row r="701">
      <c r="E701" s="62"/>
    </row>
    <row r="702">
      <c r="E702" s="62"/>
    </row>
    <row r="703">
      <c r="E703" s="62"/>
    </row>
    <row r="704">
      <c r="E704" s="62"/>
    </row>
    <row r="705">
      <c r="E705" s="62"/>
    </row>
    <row r="706">
      <c r="E706" s="62"/>
    </row>
    <row r="707">
      <c r="E707" s="62"/>
    </row>
    <row r="708">
      <c r="E708" s="62"/>
    </row>
    <row r="709">
      <c r="E709" s="62"/>
    </row>
    <row r="710">
      <c r="E710" s="62"/>
    </row>
    <row r="711">
      <c r="E711" s="62"/>
    </row>
    <row r="712">
      <c r="E712" s="62"/>
    </row>
    <row r="713">
      <c r="E713" s="62"/>
    </row>
    <row r="714">
      <c r="E714" s="62"/>
    </row>
    <row r="715">
      <c r="E715" s="62"/>
    </row>
    <row r="716">
      <c r="E716" s="62"/>
    </row>
    <row r="717">
      <c r="E717" s="62"/>
    </row>
    <row r="718">
      <c r="E718" s="62"/>
    </row>
    <row r="719">
      <c r="E719" s="62"/>
    </row>
    <row r="720">
      <c r="E720" s="62"/>
    </row>
    <row r="721">
      <c r="E721" s="62"/>
    </row>
    <row r="722">
      <c r="E722" s="62"/>
    </row>
    <row r="723">
      <c r="E723" s="62"/>
    </row>
    <row r="724">
      <c r="E724" s="62"/>
    </row>
    <row r="725">
      <c r="E725" s="62"/>
    </row>
    <row r="726">
      <c r="E726" s="62"/>
    </row>
    <row r="727">
      <c r="E727" s="62"/>
    </row>
    <row r="728">
      <c r="E728" s="62"/>
    </row>
    <row r="729">
      <c r="E729" s="62"/>
    </row>
    <row r="730">
      <c r="E730" s="62"/>
    </row>
    <row r="731">
      <c r="E731" s="62"/>
    </row>
    <row r="732">
      <c r="E732" s="62"/>
    </row>
    <row r="733">
      <c r="E733" s="62"/>
    </row>
    <row r="734">
      <c r="E734" s="62"/>
    </row>
    <row r="735">
      <c r="E735" s="62"/>
    </row>
    <row r="736">
      <c r="E736" s="62"/>
    </row>
    <row r="737">
      <c r="E737" s="62"/>
    </row>
    <row r="738">
      <c r="E738" s="62"/>
    </row>
    <row r="739">
      <c r="E739" s="62"/>
    </row>
    <row r="740">
      <c r="E740" s="62"/>
    </row>
    <row r="741">
      <c r="E741" s="62"/>
    </row>
    <row r="742">
      <c r="E742" s="62"/>
    </row>
    <row r="743">
      <c r="E743" s="62"/>
    </row>
    <row r="744">
      <c r="E744" s="62"/>
    </row>
    <row r="745">
      <c r="E745" s="62"/>
    </row>
    <row r="746">
      <c r="E746" s="62"/>
    </row>
    <row r="747">
      <c r="E747" s="62"/>
    </row>
    <row r="748">
      <c r="E748" s="62"/>
    </row>
    <row r="749">
      <c r="E749" s="62"/>
    </row>
    <row r="750">
      <c r="E750" s="62"/>
    </row>
    <row r="751">
      <c r="E751" s="62"/>
    </row>
    <row r="752">
      <c r="E752" s="62"/>
    </row>
    <row r="753">
      <c r="E753" s="62"/>
    </row>
    <row r="754">
      <c r="E754" s="62"/>
    </row>
    <row r="755">
      <c r="E755" s="62"/>
    </row>
    <row r="756">
      <c r="E756" s="62"/>
    </row>
    <row r="757">
      <c r="E757" s="62"/>
    </row>
    <row r="758">
      <c r="E758" s="62"/>
    </row>
    <row r="759">
      <c r="E759" s="62"/>
    </row>
    <row r="760">
      <c r="E760" s="62"/>
    </row>
    <row r="761">
      <c r="E761" s="62"/>
    </row>
    <row r="762">
      <c r="E762" s="62"/>
    </row>
    <row r="763">
      <c r="E763" s="62"/>
    </row>
    <row r="764">
      <c r="E764" s="62"/>
    </row>
    <row r="765">
      <c r="E765" s="62"/>
    </row>
    <row r="766">
      <c r="E766" s="62"/>
    </row>
    <row r="767">
      <c r="E767" s="62"/>
    </row>
    <row r="768">
      <c r="E768" s="62"/>
    </row>
    <row r="769">
      <c r="E769" s="62"/>
    </row>
    <row r="770">
      <c r="E770" s="62"/>
    </row>
    <row r="771">
      <c r="E771" s="62"/>
    </row>
    <row r="772">
      <c r="E772" s="62"/>
    </row>
    <row r="773">
      <c r="E773" s="62"/>
    </row>
    <row r="774">
      <c r="E774" s="62"/>
    </row>
    <row r="775">
      <c r="E775" s="62"/>
    </row>
    <row r="776">
      <c r="E776" s="62"/>
    </row>
    <row r="777">
      <c r="E777" s="62"/>
    </row>
    <row r="778">
      <c r="E778" s="62"/>
    </row>
    <row r="779">
      <c r="E779" s="62"/>
    </row>
    <row r="780">
      <c r="E780" s="62"/>
    </row>
    <row r="781">
      <c r="E781" s="62"/>
    </row>
    <row r="782">
      <c r="E782" s="62"/>
    </row>
    <row r="783">
      <c r="E783" s="62"/>
    </row>
    <row r="784">
      <c r="E784" s="62"/>
    </row>
    <row r="785">
      <c r="E785" s="62"/>
    </row>
    <row r="786">
      <c r="E786" s="62"/>
    </row>
    <row r="787">
      <c r="E787" s="62"/>
    </row>
    <row r="788">
      <c r="E788" s="62"/>
    </row>
    <row r="789">
      <c r="E789" s="62"/>
    </row>
    <row r="790">
      <c r="E790" s="62"/>
    </row>
    <row r="791">
      <c r="E791" s="62"/>
    </row>
    <row r="792">
      <c r="E792" s="62"/>
    </row>
    <row r="793">
      <c r="E793" s="62"/>
    </row>
    <row r="794">
      <c r="E794" s="62"/>
    </row>
    <row r="795">
      <c r="E795" s="62"/>
    </row>
    <row r="796">
      <c r="E796" s="62"/>
    </row>
    <row r="797">
      <c r="E797" s="62"/>
    </row>
    <row r="798">
      <c r="E798" s="62"/>
    </row>
    <row r="799">
      <c r="E799" s="62"/>
    </row>
    <row r="800">
      <c r="E800" s="62"/>
    </row>
    <row r="801">
      <c r="E801" s="62"/>
    </row>
    <row r="802">
      <c r="E802" s="62"/>
    </row>
    <row r="803">
      <c r="E803" s="62"/>
    </row>
    <row r="804">
      <c r="E804" s="62"/>
    </row>
    <row r="805">
      <c r="E805" s="62"/>
    </row>
    <row r="806">
      <c r="E806" s="62"/>
    </row>
    <row r="807">
      <c r="E807" s="62"/>
    </row>
    <row r="808">
      <c r="E808" s="62"/>
    </row>
    <row r="809">
      <c r="E809" s="62"/>
    </row>
    <row r="810">
      <c r="E810" s="62"/>
    </row>
    <row r="811">
      <c r="E811" s="62"/>
    </row>
    <row r="812">
      <c r="E812" s="62"/>
    </row>
    <row r="813">
      <c r="E813" s="62"/>
    </row>
    <row r="814">
      <c r="E814" s="62"/>
    </row>
    <row r="815">
      <c r="E815" s="62"/>
    </row>
    <row r="816">
      <c r="E816" s="62"/>
    </row>
    <row r="817">
      <c r="E817" s="62"/>
    </row>
    <row r="818">
      <c r="E818" s="62"/>
    </row>
    <row r="819">
      <c r="E819" s="62"/>
    </row>
    <row r="820">
      <c r="E820" s="62"/>
    </row>
    <row r="821">
      <c r="E821" s="62"/>
    </row>
    <row r="822">
      <c r="E822" s="62"/>
    </row>
    <row r="823">
      <c r="E823" s="62"/>
    </row>
    <row r="824">
      <c r="E824" s="62"/>
    </row>
    <row r="825">
      <c r="E825" s="62"/>
    </row>
    <row r="826">
      <c r="E826" s="62"/>
    </row>
    <row r="827">
      <c r="E827" s="62"/>
    </row>
    <row r="828">
      <c r="E828" s="62"/>
    </row>
    <row r="829">
      <c r="E829" s="62"/>
    </row>
    <row r="830">
      <c r="E830" s="62"/>
    </row>
    <row r="831">
      <c r="E831" s="62"/>
    </row>
    <row r="832">
      <c r="E832" s="62"/>
    </row>
    <row r="833">
      <c r="E833" s="62"/>
    </row>
    <row r="834">
      <c r="E834" s="62"/>
    </row>
    <row r="835">
      <c r="E835" s="62"/>
    </row>
    <row r="836">
      <c r="E836" s="62"/>
    </row>
    <row r="837">
      <c r="E837" s="62"/>
    </row>
    <row r="838">
      <c r="E838" s="62"/>
    </row>
    <row r="839">
      <c r="E839" s="62"/>
    </row>
    <row r="840">
      <c r="E840" s="62"/>
    </row>
    <row r="841">
      <c r="E841" s="62"/>
    </row>
    <row r="842">
      <c r="E842" s="62"/>
    </row>
    <row r="843">
      <c r="E843" s="62"/>
    </row>
    <row r="844">
      <c r="E844" s="62"/>
    </row>
    <row r="845">
      <c r="E845" s="62"/>
    </row>
    <row r="846">
      <c r="E846" s="62"/>
    </row>
    <row r="847">
      <c r="E847" s="62"/>
    </row>
    <row r="848">
      <c r="E848" s="62"/>
    </row>
    <row r="849">
      <c r="E849" s="62"/>
    </row>
    <row r="850">
      <c r="E850" s="62"/>
    </row>
    <row r="851">
      <c r="E851" s="62"/>
    </row>
    <row r="852">
      <c r="E852" s="62"/>
    </row>
    <row r="853">
      <c r="E853" s="62"/>
    </row>
    <row r="854">
      <c r="E854" s="62"/>
    </row>
    <row r="855">
      <c r="E855" s="62"/>
    </row>
    <row r="856">
      <c r="E856" s="62"/>
    </row>
    <row r="857">
      <c r="E857" s="62"/>
    </row>
    <row r="858">
      <c r="E858" s="62"/>
    </row>
    <row r="859">
      <c r="E859" s="62"/>
    </row>
    <row r="860">
      <c r="E860" s="62"/>
    </row>
    <row r="861">
      <c r="E861" s="62"/>
    </row>
    <row r="862">
      <c r="E862" s="62"/>
    </row>
    <row r="863">
      <c r="E863" s="62"/>
    </row>
    <row r="864">
      <c r="E864" s="62"/>
    </row>
    <row r="865">
      <c r="E865" s="62"/>
    </row>
    <row r="866">
      <c r="E866" s="62"/>
    </row>
    <row r="867">
      <c r="E867" s="62"/>
    </row>
    <row r="868">
      <c r="E868" s="62"/>
    </row>
    <row r="869">
      <c r="E869" s="62"/>
    </row>
    <row r="870">
      <c r="E870" s="62"/>
    </row>
    <row r="871">
      <c r="E871" s="62"/>
    </row>
    <row r="872">
      <c r="E872" s="62"/>
    </row>
    <row r="873">
      <c r="E873" s="62"/>
    </row>
    <row r="874">
      <c r="E874" s="62"/>
    </row>
    <row r="875">
      <c r="E875" s="62"/>
    </row>
    <row r="876">
      <c r="E876" s="62"/>
    </row>
    <row r="877">
      <c r="E877" s="62"/>
    </row>
  </sheetData>
  <autoFilter ref="$A$2:$R$437"/>
  <mergeCells count="1">
    <mergeCell ref="A1:G1"/>
  </mergeCells>
  <hyperlinks>
    <hyperlink r:id="rId1" ref="E3"/>
    <hyperlink r:id="rId2" ref="E4"/>
    <hyperlink r:id="rId3" ref="E5"/>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 r:id="rId16" ref="E18"/>
    <hyperlink r:id="rId17" ref="E19"/>
    <hyperlink r:id="rId18" ref="E20"/>
    <hyperlink r:id="rId19" ref="E21"/>
    <hyperlink r:id="rId20" ref="E22"/>
    <hyperlink r:id="rId21" ref="E23"/>
    <hyperlink r:id="rId22" ref="E24"/>
    <hyperlink r:id="rId23" ref="E25"/>
    <hyperlink r:id="rId24" ref="E26"/>
    <hyperlink r:id="rId25" ref="E27"/>
    <hyperlink r:id="rId26" ref="E28"/>
    <hyperlink r:id="rId27" ref="E29"/>
    <hyperlink r:id="rId28" ref="E30"/>
    <hyperlink r:id="rId29" ref="E31"/>
    <hyperlink r:id="rId30" ref="E32"/>
    <hyperlink r:id="rId31" ref="E33"/>
    <hyperlink r:id="rId32" ref="E34"/>
    <hyperlink r:id="rId33" ref="E35"/>
    <hyperlink r:id="rId34" ref="E36"/>
    <hyperlink r:id="rId35" ref="E37"/>
    <hyperlink r:id="rId36" ref="E38"/>
    <hyperlink r:id="rId37" ref="E39"/>
    <hyperlink r:id="rId38" ref="E40"/>
    <hyperlink r:id="rId39" ref="E41"/>
    <hyperlink r:id="rId40" ref="E42"/>
    <hyperlink r:id="rId41" ref="E43"/>
    <hyperlink r:id="rId42" ref="E44"/>
    <hyperlink r:id="rId43" ref="E45"/>
    <hyperlink r:id="rId44" ref="E46"/>
    <hyperlink r:id="rId45" ref="E47"/>
    <hyperlink r:id="rId46" ref="E48"/>
    <hyperlink r:id="rId47" ref="E50"/>
    <hyperlink r:id="rId48" ref="E51"/>
    <hyperlink r:id="rId49" ref="E52"/>
    <hyperlink r:id="rId50" ref="E53"/>
    <hyperlink r:id="rId51" ref="E54"/>
    <hyperlink r:id="rId52" ref="E55"/>
    <hyperlink r:id="rId53" ref="E56"/>
    <hyperlink r:id="rId54" ref="E57"/>
    <hyperlink r:id="rId55" ref="E58"/>
    <hyperlink r:id="rId56" ref="E59"/>
    <hyperlink r:id="rId57" ref="E60"/>
    <hyperlink r:id="rId58" ref="E61"/>
    <hyperlink r:id="rId59" ref="E63"/>
    <hyperlink r:id="rId60" ref="E64"/>
    <hyperlink r:id="rId61" ref="E65"/>
    <hyperlink r:id="rId62" ref="E67"/>
    <hyperlink r:id="rId63" ref="E68"/>
    <hyperlink r:id="rId64" ref="E69"/>
    <hyperlink r:id="rId65" ref="E70"/>
    <hyperlink r:id="rId66" ref="E71"/>
    <hyperlink r:id="rId67" ref="E72"/>
    <hyperlink r:id="rId68" ref="E73"/>
    <hyperlink r:id="rId69" ref="E74"/>
    <hyperlink r:id="rId70" ref="E75"/>
    <hyperlink r:id="rId71" ref="E76"/>
    <hyperlink r:id="rId72" ref="E77"/>
    <hyperlink r:id="rId73" ref="E78"/>
    <hyperlink r:id="rId74" ref="E79"/>
    <hyperlink r:id="rId75" ref="E80"/>
    <hyperlink r:id="rId76" ref="E81"/>
    <hyperlink r:id="rId77" ref="E82"/>
    <hyperlink r:id="rId78" ref="E83"/>
    <hyperlink r:id="rId79" ref="E84"/>
    <hyperlink r:id="rId80" ref="E85"/>
    <hyperlink r:id="rId81" ref="E86"/>
    <hyperlink r:id="rId82" ref="E87"/>
    <hyperlink r:id="rId83" ref="E88"/>
    <hyperlink r:id="rId84" ref="E89"/>
    <hyperlink r:id="rId85" ref="E90"/>
    <hyperlink r:id="rId86" ref="E91"/>
    <hyperlink r:id="rId87" ref="E92"/>
    <hyperlink r:id="rId88" ref="E93"/>
    <hyperlink r:id="rId89" ref="E94"/>
    <hyperlink r:id="rId90" ref="E95"/>
    <hyperlink r:id="rId91" ref="E96"/>
    <hyperlink r:id="rId92" ref="E97"/>
    <hyperlink r:id="rId93" ref="E98"/>
    <hyperlink r:id="rId94" ref="E99"/>
    <hyperlink r:id="rId95" ref="E100"/>
    <hyperlink r:id="rId96" ref="E101"/>
    <hyperlink r:id="rId97" ref="E102"/>
    <hyperlink r:id="rId98" ref="E103"/>
    <hyperlink r:id="rId99" ref="E104"/>
    <hyperlink r:id="rId100" ref="E105"/>
    <hyperlink r:id="rId101" ref="E106"/>
    <hyperlink r:id="rId102" ref="E107"/>
    <hyperlink r:id="rId103" ref="E108"/>
    <hyperlink r:id="rId104" ref="E109"/>
    <hyperlink r:id="rId105" ref="E110"/>
    <hyperlink r:id="rId106" ref="E111"/>
    <hyperlink r:id="rId107" ref="E112"/>
    <hyperlink r:id="rId108" ref="E113"/>
    <hyperlink r:id="rId109" ref="E114"/>
    <hyperlink r:id="rId110" ref="E115"/>
    <hyperlink r:id="rId111" ref="E116"/>
    <hyperlink r:id="rId112" ref="E117"/>
    <hyperlink r:id="rId113" ref="E118"/>
    <hyperlink r:id="rId114" ref="E119"/>
    <hyperlink r:id="rId115" ref="E120"/>
    <hyperlink r:id="rId116" ref="E121"/>
    <hyperlink r:id="rId117" ref="E122"/>
    <hyperlink r:id="rId118" ref="E123"/>
    <hyperlink r:id="rId119" ref="E124"/>
    <hyperlink r:id="rId120" ref="E125"/>
    <hyperlink r:id="rId121" ref="E126"/>
    <hyperlink r:id="rId122" ref="E127"/>
    <hyperlink r:id="rId123" ref="E128"/>
    <hyperlink r:id="rId124" ref="E130"/>
    <hyperlink r:id="rId125" ref="E131"/>
    <hyperlink r:id="rId126" ref="E132"/>
    <hyperlink r:id="rId127" ref="E133"/>
    <hyperlink r:id="rId128" ref="E134"/>
    <hyperlink r:id="rId129" ref="E135"/>
    <hyperlink r:id="rId130" ref="E136"/>
    <hyperlink r:id="rId131" ref="E137"/>
    <hyperlink r:id="rId132" ref="E138"/>
    <hyperlink r:id="rId133" ref="E139"/>
    <hyperlink r:id="rId134" ref="E140"/>
    <hyperlink r:id="rId135" ref="E141"/>
    <hyperlink r:id="rId136" ref="E142"/>
    <hyperlink r:id="rId137" ref="E143"/>
    <hyperlink r:id="rId138" ref="E144"/>
    <hyperlink r:id="rId139" ref="E145"/>
    <hyperlink r:id="rId140" ref="E146"/>
    <hyperlink r:id="rId141" ref="E147"/>
    <hyperlink r:id="rId142" ref="E148"/>
    <hyperlink r:id="rId143" ref="E149"/>
    <hyperlink r:id="rId144" ref="E150"/>
    <hyperlink r:id="rId145" ref="E151"/>
    <hyperlink r:id="rId146" ref="E152"/>
    <hyperlink r:id="rId147" ref="E153"/>
    <hyperlink r:id="rId148" ref="E154"/>
    <hyperlink r:id="rId149" ref="E155"/>
    <hyperlink r:id="rId150" ref="E156"/>
    <hyperlink r:id="rId151" ref="E157"/>
    <hyperlink r:id="rId152" ref="E158"/>
    <hyperlink r:id="rId153" ref="E159"/>
    <hyperlink r:id="rId154" ref="E160"/>
    <hyperlink r:id="rId155" ref="E161"/>
    <hyperlink r:id="rId156" ref="E162"/>
    <hyperlink r:id="rId157" ref="E163"/>
    <hyperlink r:id="rId158" ref="E164"/>
    <hyperlink r:id="rId159" ref="E165"/>
    <hyperlink r:id="rId160" ref="E166"/>
    <hyperlink r:id="rId161" ref="E167"/>
    <hyperlink r:id="rId162" ref="E168"/>
    <hyperlink r:id="rId163" ref="E169"/>
    <hyperlink r:id="rId164" ref="E170"/>
    <hyperlink r:id="rId165" ref="E171"/>
    <hyperlink r:id="rId166" ref="E172"/>
    <hyperlink r:id="rId167" ref="E173"/>
    <hyperlink r:id="rId168" ref="E174"/>
    <hyperlink r:id="rId169" ref="E175"/>
    <hyperlink r:id="rId170" ref="E176"/>
    <hyperlink r:id="rId171" ref="E177"/>
    <hyperlink r:id="rId172" ref="E178"/>
    <hyperlink r:id="rId173" ref="E179"/>
    <hyperlink r:id="rId174" ref="E180"/>
    <hyperlink r:id="rId175" ref="E181"/>
    <hyperlink r:id="rId176" ref="E182"/>
    <hyperlink r:id="rId177" ref="E183"/>
    <hyperlink r:id="rId178" ref="E184"/>
    <hyperlink r:id="rId179" ref="E185"/>
    <hyperlink r:id="rId180" ref="E186"/>
    <hyperlink r:id="rId181" ref="E187"/>
    <hyperlink r:id="rId182" ref="E188"/>
    <hyperlink r:id="rId183" ref="E189"/>
    <hyperlink r:id="rId184" ref="E190"/>
    <hyperlink r:id="rId185" ref="E191"/>
    <hyperlink r:id="rId186" ref="E192"/>
    <hyperlink r:id="rId187" ref="E193"/>
    <hyperlink r:id="rId188" ref="E194"/>
    <hyperlink r:id="rId189" ref="E195"/>
    <hyperlink r:id="rId190" ref="E196"/>
    <hyperlink r:id="rId191" ref="E197"/>
    <hyperlink r:id="rId192" ref="E198"/>
    <hyperlink r:id="rId193" ref="E199"/>
    <hyperlink r:id="rId194" ref="E200"/>
    <hyperlink r:id="rId195" ref="E201"/>
    <hyperlink r:id="rId196" ref="E202"/>
    <hyperlink r:id="rId197" ref="E203"/>
    <hyperlink r:id="rId198" ref="E204"/>
    <hyperlink r:id="rId199" ref="E205"/>
    <hyperlink r:id="rId200" ref="E206"/>
    <hyperlink r:id="rId201" ref="E207"/>
    <hyperlink r:id="rId202" ref="E208"/>
    <hyperlink r:id="rId203" ref="E209"/>
    <hyperlink r:id="rId204" ref="E210"/>
    <hyperlink r:id="rId205" ref="E211"/>
    <hyperlink r:id="rId206" ref="E212"/>
    <hyperlink r:id="rId207" ref="E213"/>
    <hyperlink r:id="rId208" ref="E214"/>
    <hyperlink r:id="rId209" ref="E215"/>
    <hyperlink r:id="rId210" ref="E216"/>
    <hyperlink r:id="rId211" ref="E217"/>
    <hyperlink r:id="rId212" ref="E218"/>
    <hyperlink r:id="rId213" ref="E219"/>
    <hyperlink r:id="rId214" ref="E220"/>
    <hyperlink r:id="rId215" ref="E221"/>
    <hyperlink r:id="rId216" ref="E222"/>
    <hyperlink r:id="rId217" ref="E223"/>
    <hyperlink r:id="rId218" ref="E224"/>
    <hyperlink r:id="rId219" ref="E225"/>
    <hyperlink r:id="rId220" ref="E226"/>
    <hyperlink r:id="rId221" ref="E227"/>
    <hyperlink r:id="rId222" ref="E228"/>
    <hyperlink r:id="rId223" ref="E229"/>
    <hyperlink r:id="rId224" ref="E230"/>
    <hyperlink r:id="rId225" ref="E231"/>
    <hyperlink r:id="rId226" ref="E232"/>
    <hyperlink r:id="rId227" ref="E233"/>
    <hyperlink r:id="rId228" ref="E234"/>
    <hyperlink r:id="rId229" ref="E235"/>
    <hyperlink r:id="rId230" ref="E236"/>
    <hyperlink r:id="rId231" ref="E237"/>
    <hyperlink r:id="rId232" ref="E238"/>
    <hyperlink r:id="rId233" ref="E239"/>
    <hyperlink r:id="rId234" ref="E240"/>
    <hyperlink r:id="rId235" ref="E241"/>
    <hyperlink r:id="rId236" ref="E242"/>
    <hyperlink r:id="rId237" ref="E243"/>
    <hyperlink r:id="rId238" ref="E244"/>
    <hyperlink r:id="rId239" ref="E245"/>
    <hyperlink r:id="rId240" ref="E246"/>
    <hyperlink r:id="rId241" ref="E247"/>
    <hyperlink r:id="rId242" ref="E248"/>
    <hyperlink r:id="rId243" ref="E249"/>
    <hyperlink r:id="rId244" ref="E250"/>
    <hyperlink r:id="rId245" ref="E251"/>
    <hyperlink r:id="rId246" ref="E252"/>
    <hyperlink r:id="rId247" ref="E253"/>
    <hyperlink r:id="rId248" ref="E254"/>
    <hyperlink r:id="rId249" ref="E255"/>
    <hyperlink r:id="rId250" ref="E256"/>
    <hyperlink r:id="rId251" ref="E257"/>
    <hyperlink r:id="rId252" ref="E258"/>
    <hyperlink r:id="rId253" ref="E259"/>
    <hyperlink r:id="rId254" ref="E260"/>
    <hyperlink r:id="rId255" ref="E261"/>
    <hyperlink r:id="rId256" ref="E262"/>
    <hyperlink r:id="rId257" ref="E263"/>
    <hyperlink r:id="rId258" ref="E264"/>
    <hyperlink r:id="rId259" ref="E265"/>
    <hyperlink r:id="rId260" ref="E266"/>
    <hyperlink r:id="rId261" ref="E267"/>
    <hyperlink r:id="rId262" ref="E268"/>
    <hyperlink r:id="rId263" ref="E269"/>
    <hyperlink r:id="rId264" ref="E270"/>
    <hyperlink r:id="rId265" ref="E271"/>
    <hyperlink r:id="rId266" ref="E272"/>
    <hyperlink r:id="rId267" ref="E273"/>
    <hyperlink r:id="rId268" ref="E274"/>
    <hyperlink r:id="rId269" ref="E275"/>
    <hyperlink r:id="rId270" ref="E276"/>
    <hyperlink r:id="rId271" ref="E277"/>
    <hyperlink r:id="rId272" ref="E278"/>
    <hyperlink r:id="rId273" ref="E279"/>
    <hyperlink r:id="rId274" ref="E280"/>
    <hyperlink r:id="rId275" ref="E281"/>
    <hyperlink r:id="rId276" ref="E282"/>
    <hyperlink r:id="rId277" ref="E283"/>
    <hyperlink r:id="rId278" ref="E284"/>
    <hyperlink r:id="rId279" ref="E285"/>
    <hyperlink r:id="rId280" ref="E286"/>
    <hyperlink r:id="rId281" ref="E287"/>
    <hyperlink r:id="rId282" ref="E288"/>
    <hyperlink r:id="rId283" ref="E289"/>
    <hyperlink r:id="rId284" ref="E290"/>
    <hyperlink r:id="rId285" ref="E291"/>
    <hyperlink r:id="rId286" ref="E292"/>
    <hyperlink r:id="rId287" ref="E293"/>
    <hyperlink r:id="rId288" ref="E294"/>
    <hyperlink r:id="rId289" ref="E295"/>
    <hyperlink r:id="rId290" ref="E296"/>
    <hyperlink r:id="rId291" ref="E297"/>
    <hyperlink r:id="rId292" ref="E298"/>
    <hyperlink r:id="rId293" ref="E299"/>
    <hyperlink r:id="rId294" ref="E300"/>
    <hyperlink r:id="rId295" ref="E301"/>
    <hyperlink r:id="rId296" ref="E302"/>
    <hyperlink r:id="rId297" ref="E303"/>
    <hyperlink r:id="rId298" ref="E304"/>
    <hyperlink r:id="rId299" ref="E305"/>
    <hyperlink r:id="rId300" ref="E315"/>
    <hyperlink r:id="rId301" ref="E318"/>
    <hyperlink r:id="rId302" ref="E329"/>
    <hyperlink r:id="rId303" ref="E347"/>
    <hyperlink r:id="rId304" ref="E352"/>
    <hyperlink r:id="rId305" ref="E360"/>
    <hyperlink r:id="rId306" ref="E373"/>
    <hyperlink r:id="rId307" ref="E374"/>
    <hyperlink r:id="rId308" ref="E375"/>
    <hyperlink r:id="rId309" ref="E376"/>
    <hyperlink r:id="rId310" ref="E378"/>
    <hyperlink r:id="rId311" ref="E380"/>
    <hyperlink r:id="rId312" ref="E381"/>
    <hyperlink r:id="rId313" ref="E382"/>
    <hyperlink r:id="rId314" ref="E384"/>
    <hyperlink r:id="rId315" ref="E388"/>
    <hyperlink r:id="rId316" ref="E389"/>
    <hyperlink r:id="rId317" ref="E391"/>
    <hyperlink r:id="rId318" ref="E392"/>
    <hyperlink r:id="rId319" ref="E397"/>
    <hyperlink r:id="rId320" ref="E399"/>
    <hyperlink r:id="rId321" ref="E404"/>
    <hyperlink r:id="rId322" ref="E405"/>
    <hyperlink r:id="rId323" ref="E409"/>
    <hyperlink r:id="rId324" ref="E410"/>
    <hyperlink r:id="rId325" location="page=85" ref="E411"/>
    <hyperlink r:id="rId326" ref="E417"/>
    <hyperlink r:id="rId327" ref="E419"/>
    <hyperlink r:id="rId328" ref="E420"/>
    <hyperlink r:id="rId329" ref="E422"/>
    <hyperlink r:id="rId330" ref="E425"/>
    <hyperlink r:id="rId331" ref="E426"/>
    <hyperlink r:id="rId332" ref="E430"/>
    <hyperlink r:id="rId333" ref="E434"/>
    <hyperlink r:id="rId334" ref="E436"/>
  </hyperlinks>
  <drawing r:id="rId335"/>
</worksheet>
</file>