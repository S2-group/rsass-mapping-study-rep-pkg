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Elvin\Repositories\RAA-Clean\rsass-mapping-study-rep-pkg\data\"/>
    </mc:Choice>
  </mc:AlternateContent>
  <xr:revisionPtr revIDLastSave="0" documentId="13_ncr:1_{FE708690-256A-45D6-9645-391E91E67096}" xr6:coauthVersionLast="47" xr6:coauthVersionMax="47" xr10:uidLastSave="{00000000-0000-0000-0000-000000000000}"/>
  <bookViews>
    <workbookView xWindow="-108" yWindow="-108" windowWidth="30936" windowHeight="17496" xr2:uid="{00000000-000D-0000-FFFF-FFFF00000000}"/>
  </bookViews>
  <sheets>
    <sheet name="Primary Studies" sheetId="1" r:id="rId1"/>
    <sheet name="Forward Snowballing" sheetId="2" r:id="rId2"/>
    <sheet name="Backwards Snowballing" sheetId="3" r:id="rId3"/>
  </sheets>
  <definedNames>
    <definedName name="_xlnm._FilterDatabase" localSheetId="2" hidden="1">'Backwards Snowballing'!$A$2:$R$305</definedName>
    <definedName name="_xlnm._FilterDatabase" localSheetId="1" hidden="1">'Forward Snowballing'!$A$2:$R$207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05" i="3" l="1"/>
  <c r="Y304" i="3"/>
  <c r="Y303" i="3"/>
  <c r="Y302" i="3"/>
  <c r="Y301" i="3"/>
  <c r="Y300" i="3"/>
  <c r="Y299" i="3"/>
  <c r="Y298" i="3"/>
  <c r="Y297" i="3"/>
  <c r="Y296" i="3"/>
  <c r="Y295" i="3"/>
  <c r="Y294" i="3"/>
  <c r="Y293" i="3"/>
  <c r="Y292" i="3"/>
  <c r="Y291" i="3"/>
  <c r="Y290" i="3"/>
  <c r="Y289" i="3"/>
  <c r="Y288" i="3"/>
  <c r="Y287" i="3"/>
  <c r="Y286" i="3"/>
  <c r="Y285" i="3"/>
  <c r="Y284" i="3"/>
  <c r="Y283" i="3"/>
  <c r="Y282" i="3"/>
  <c r="Y281" i="3"/>
  <c r="Y280" i="3"/>
  <c r="Y279" i="3"/>
  <c r="Y278" i="3"/>
  <c r="Y277" i="3"/>
  <c r="Y276" i="3"/>
  <c r="Y275" i="3"/>
  <c r="Y274" i="3"/>
  <c r="Y273" i="3"/>
  <c r="Y272" i="3"/>
  <c r="Y271" i="3"/>
  <c r="Y270" i="3"/>
  <c r="Y269" i="3"/>
  <c r="Y268" i="3"/>
  <c r="Y267" i="3"/>
  <c r="Y266" i="3"/>
  <c r="Y265" i="3"/>
  <c r="Y264" i="3"/>
  <c r="Y263" i="3"/>
  <c r="Y262" i="3"/>
  <c r="Y261" i="3"/>
  <c r="Y260" i="3"/>
  <c r="Y259" i="3"/>
  <c r="Y258" i="3"/>
  <c r="Y257" i="3"/>
  <c r="Y256" i="3"/>
  <c r="Y255" i="3"/>
  <c r="Y254" i="3"/>
  <c r="Y253" i="3"/>
  <c r="Y252" i="3"/>
  <c r="Y251" i="3"/>
  <c r="Y250" i="3"/>
  <c r="Y249" i="3"/>
  <c r="Y248" i="3"/>
  <c r="Y247" i="3"/>
  <c r="Y246" i="3"/>
  <c r="Y245" i="3"/>
  <c r="Y244" i="3"/>
  <c r="Y243" i="3"/>
  <c r="Y242" i="3"/>
  <c r="Y241" i="3"/>
  <c r="Y240" i="3"/>
  <c r="Y239" i="3"/>
  <c r="R239" i="3"/>
  <c r="Y238" i="3"/>
  <c r="Y237" i="3"/>
  <c r="Y236" i="3"/>
  <c r="Y235" i="3"/>
  <c r="Y234" i="3"/>
  <c r="Y233" i="3"/>
  <c r="Y232" i="3"/>
  <c r="Y231" i="3"/>
  <c r="Y230" i="3"/>
  <c r="Y229" i="3"/>
  <c r="Y228" i="3"/>
  <c r="Y227" i="3"/>
  <c r="Y226" i="3"/>
  <c r="R226" i="3"/>
  <c r="Y225" i="3"/>
  <c r="Y224" i="3"/>
  <c r="Y223" i="3"/>
  <c r="Y222" i="3"/>
  <c r="Y221" i="3"/>
  <c r="R221" i="3"/>
  <c r="Y220" i="3"/>
  <c r="R220" i="3"/>
  <c r="Y219" i="3"/>
  <c r="R219" i="3"/>
  <c r="Y218" i="3"/>
  <c r="R218" i="3"/>
  <c r="Y217" i="3"/>
  <c r="Y216" i="3"/>
  <c r="R216" i="3"/>
  <c r="Y215" i="3"/>
  <c r="R215" i="3"/>
  <c r="Y214" i="3"/>
  <c r="Y213" i="3"/>
  <c r="Y212" i="3"/>
  <c r="R212" i="3"/>
  <c r="Y211" i="3"/>
  <c r="Y210" i="3"/>
  <c r="Y209" i="3"/>
  <c r="Y208" i="3"/>
  <c r="Y207" i="3"/>
  <c r="Y206" i="3"/>
  <c r="Y205" i="3"/>
  <c r="R205" i="3"/>
  <c r="Y204" i="3"/>
  <c r="R204" i="3"/>
  <c r="Y203" i="3"/>
  <c r="Y202" i="3"/>
  <c r="Y201" i="3"/>
  <c r="R201" i="3"/>
  <c r="Y200" i="3"/>
  <c r="Y199" i="3"/>
  <c r="Y198" i="3"/>
  <c r="Y197" i="3"/>
  <c r="Y196" i="3"/>
  <c r="Y195" i="3"/>
  <c r="Y194" i="3"/>
  <c r="Y193" i="3"/>
  <c r="Y192" i="3"/>
  <c r="R192" i="3"/>
  <c r="Y191" i="3"/>
  <c r="Y190" i="3"/>
  <c r="Y189" i="3"/>
  <c r="Y188" i="3"/>
  <c r="Y187" i="3"/>
  <c r="Y186" i="3"/>
  <c r="R186" i="3"/>
  <c r="Y185" i="3"/>
  <c r="Y184" i="3"/>
  <c r="Y183" i="3"/>
  <c r="Y182" i="3"/>
  <c r="Y181" i="3"/>
  <c r="R181" i="3"/>
  <c r="Y180" i="3"/>
  <c r="Y179" i="3"/>
  <c r="R179" i="3"/>
  <c r="Y178" i="3"/>
  <c r="Y177" i="3"/>
  <c r="R177" i="3"/>
  <c r="Y176" i="3"/>
  <c r="R176" i="3"/>
  <c r="Y175" i="3"/>
  <c r="Y174" i="3"/>
  <c r="Y173" i="3"/>
  <c r="R173" i="3"/>
  <c r="Y172" i="3"/>
  <c r="R172" i="3"/>
  <c r="Y171" i="3"/>
  <c r="R171" i="3"/>
  <c r="Y170" i="3"/>
  <c r="R170" i="3"/>
  <c r="Y169" i="3"/>
  <c r="R169" i="3"/>
  <c r="Y168" i="3"/>
  <c r="R168" i="3"/>
  <c r="Y167" i="3"/>
  <c r="R167" i="3"/>
  <c r="Y166" i="3"/>
  <c r="R166" i="3"/>
  <c r="Y165" i="3"/>
  <c r="R165" i="3"/>
  <c r="Y164" i="3"/>
  <c r="R164" i="3"/>
  <c r="Y163" i="3"/>
  <c r="R163" i="3"/>
  <c r="Y162" i="3"/>
  <c r="R162" i="3"/>
  <c r="Y161" i="3"/>
  <c r="Y160" i="3"/>
  <c r="R160" i="3"/>
  <c r="Y159" i="3"/>
  <c r="Y158" i="3"/>
  <c r="R158" i="3"/>
  <c r="Y157" i="3"/>
  <c r="Y156" i="3"/>
  <c r="Y155" i="3"/>
  <c r="Y154" i="3"/>
  <c r="Y153" i="3"/>
  <c r="R153" i="3"/>
  <c r="Y152" i="3"/>
  <c r="R152" i="3"/>
  <c r="Y151" i="3"/>
  <c r="R151" i="3"/>
  <c r="Y150" i="3"/>
  <c r="R150" i="3"/>
  <c r="Y149" i="3"/>
  <c r="R149" i="3"/>
  <c r="Y148" i="3"/>
  <c r="R148" i="3"/>
  <c r="Y147" i="3"/>
  <c r="Y146" i="3"/>
  <c r="Y145" i="3"/>
  <c r="Y144" i="3"/>
  <c r="Y143" i="3"/>
  <c r="Y142" i="3"/>
  <c r="R142" i="3"/>
  <c r="Y141" i="3"/>
  <c r="R141" i="3"/>
  <c r="Y140" i="3"/>
  <c r="Y139" i="3"/>
  <c r="Y138" i="3"/>
  <c r="Y137" i="3"/>
  <c r="Y136" i="3"/>
  <c r="Y135" i="3"/>
  <c r="Y134" i="3"/>
  <c r="Y133" i="3"/>
  <c r="R133" i="3"/>
  <c r="Y132" i="3"/>
  <c r="R132" i="3"/>
  <c r="Y131" i="3"/>
  <c r="Y130" i="3"/>
  <c r="R130" i="3"/>
  <c r="Y129" i="3"/>
  <c r="Y128" i="3"/>
  <c r="Y127" i="3"/>
  <c r="Y126" i="3"/>
  <c r="Y125" i="3"/>
  <c r="Y124" i="3"/>
  <c r="Y123" i="3"/>
  <c r="Y122" i="3"/>
  <c r="R122" i="3"/>
  <c r="Y121" i="3"/>
  <c r="R121" i="3"/>
  <c r="Y120" i="3"/>
  <c r="R120" i="3"/>
  <c r="Y119" i="3"/>
  <c r="R119" i="3"/>
  <c r="Y118" i="3"/>
  <c r="Y117" i="3"/>
  <c r="Y116" i="3"/>
  <c r="R116" i="3"/>
  <c r="Y115" i="3"/>
  <c r="R115" i="3"/>
  <c r="Y114" i="3"/>
  <c r="Y113" i="3"/>
  <c r="R113" i="3"/>
  <c r="Y112" i="3"/>
  <c r="Y111" i="3"/>
  <c r="Y110" i="3"/>
  <c r="Y109" i="3"/>
  <c r="R109" i="3"/>
  <c r="Y108" i="3"/>
  <c r="Y107" i="3"/>
  <c r="Y106" i="3"/>
  <c r="R106" i="3"/>
  <c r="Y105" i="3"/>
  <c r="Y104" i="3"/>
  <c r="Y103" i="3"/>
  <c r="Y102" i="3"/>
  <c r="Y101" i="3"/>
  <c r="Y100" i="3"/>
  <c r="Y99" i="3"/>
  <c r="Y98" i="3"/>
  <c r="Y97" i="3"/>
  <c r="Y96" i="3"/>
  <c r="R96" i="3"/>
  <c r="Y95" i="3"/>
  <c r="R95" i="3"/>
  <c r="Y94" i="3"/>
  <c r="Y93" i="3"/>
  <c r="Y92" i="3"/>
  <c r="Y91" i="3"/>
  <c r="Y90" i="3"/>
  <c r="Y89" i="3"/>
  <c r="Y88" i="3"/>
  <c r="Y87" i="3"/>
  <c r="Y86" i="3"/>
  <c r="Y85" i="3"/>
  <c r="Y84" i="3"/>
  <c r="Y83" i="3"/>
  <c r="Y82" i="3"/>
  <c r="Y81" i="3"/>
  <c r="Y80" i="3"/>
  <c r="Y79" i="3"/>
  <c r="Y78" i="3"/>
  <c r="Y77" i="3"/>
  <c r="Y76" i="3"/>
  <c r="Y75" i="3"/>
  <c r="Y74" i="3"/>
  <c r="Y73" i="3"/>
  <c r="Y72" i="3"/>
  <c r="Y71" i="3"/>
  <c r="Y70" i="3"/>
  <c r="Y69" i="3"/>
  <c r="Y68" i="3"/>
  <c r="Y67" i="3"/>
  <c r="Y66" i="3"/>
  <c r="Y65" i="3"/>
  <c r="Y64" i="3"/>
  <c r="Y63" i="3"/>
  <c r="Y62" i="3"/>
  <c r="Y61" i="3"/>
  <c r="Y60" i="3"/>
  <c r="Y59" i="3"/>
  <c r="Y58" i="3"/>
  <c r="Y57" i="3"/>
  <c r="Y56" i="3"/>
  <c r="Y55" i="3"/>
  <c r="Y54" i="3"/>
  <c r="Y53" i="3"/>
  <c r="Y52" i="3"/>
  <c r="Y51" i="3"/>
  <c r="Y50" i="3"/>
  <c r="Y49" i="3"/>
  <c r="Y48" i="3"/>
  <c r="Y47" i="3"/>
  <c r="Y46" i="3"/>
  <c r="Y45" i="3"/>
  <c r="Y44" i="3"/>
  <c r="Y43" i="3"/>
  <c r="Y42" i="3"/>
  <c r="Y41" i="3"/>
  <c r="Y40" i="3"/>
  <c r="Y39" i="3"/>
  <c r="Y38" i="3"/>
  <c r="Y37" i="3"/>
  <c r="Y36" i="3"/>
  <c r="Y35" i="3"/>
  <c r="Y34" i="3"/>
  <c r="Y33" i="3"/>
  <c r="Y32" i="3"/>
  <c r="Y31" i="3"/>
  <c r="Y30" i="3"/>
  <c r="Y29" i="3"/>
  <c r="Y28" i="3"/>
  <c r="Y27" i="3"/>
  <c r="Y26" i="3"/>
  <c r="Y25" i="3"/>
  <c r="Y24" i="3"/>
  <c r="Y23" i="3"/>
  <c r="Y22" i="3"/>
  <c r="Y21" i="3"/>
  <c r="Y20" i="3"/>
  <c r="Y19" i="3"/>
  <c r="Y18" i="3"/>
  <c r="Y17" i="3"/>
  <c r="Y16" i="3"/>
  <c r="Y15" i="3"/>
  <c r="Y14" i="3"/>
  <c r="Y13" i="3"/>
  <c r="Y12" i="3"/>
  <c r="Y11" i="3"/>
  <c r="Y10" i="3"/>
  <c r="Y9" i="3"/>
  <c r="Y8" i="3"/>
  <c r="Y7" i="3"/>
  <c r="Y6" i="3"/>
  <c r="Y5" i="3"/>
  <c r="Y4" i="3"/>
  <c r="Y3" i="3"/>
</calcChain>
</file>

<file path=xl/sharedStrings.xml><?xml version="1.0" encoding="utf-8"?>
<sst xmlns="http://schemas.openxmlformats.org/spreadsheetml/2006/main" count="2753" uniqueCount="1648">
  <si>
    <t>ID</t>
  </si>
  <si>
    <t>First Submission</t>
  </si>
  <si>
    <t>Dynamic distribution of robot control components under hard realtime constraints - Modeling; experimental results and practical considerations.</t>
  </si>
  <si>
    <t>Franz Dietrich &amp; Jochen Maaß &amp; Matthias Hagner &amp; Jens Steiner &amp; Ursula Goltz &amp; Annika Raatz</t>
  </si>
  <si>
    <t>journals/jsa/DietrichMHSGR13</t>
  </si>
  <si>
    <t>https://doi.org/10.1016/j.sysarc.2012.12.001</t>
  </si>
  <si>
    <t>Software_Architecture</t>
  </si>
  <si>
    <t>x</t>
  </si>
  <si>
    <t>Architectural Homeostasis in Self-Adaptive Software-Intensive Cyber-Physical Systems.</t>
  </si>
  <si>
    <t>Ilias Gerostathopoulos &amp; Dominik Skoda &amp; Frantisek Plásil &amp; Tomás Bures &amp; Alessia Knauss</t>
  </si>
  <si>
    <t>conf/ecsa/Gerostathopoulos16</t>
  </si>
  <si>
    <t>https://doi.org/10.1007/978-3-319-48992-6_8</t>
  </si>
  <si>
    <t>Towards adaptive semantic subscriptions for stream reasoning in the robot operating system.</t>
  </si>
  <si>
    <t>Daniel de Leng &amp; Fredrik Heintz</t>
  </si>
  <si>
    <t>conf/iros/LengH17</t>
  </si>
  <si>
    <t>https://doi.org/10.1109/IROS.2017.8206440</t>
  </si>
  <si>
    <t>Robotics</t>
  </si>
  <si>
    <t>ReFrESH: A self-adaptation framework to support fault tolerance in field mobile robots.</t>
  </si>
  <si>
    <t>Yanzhe Cui &amp; Richard M. Voyles &amp; Joshua T. Lane &amp; Mohammad H. Mahoor</t>
  </si>
  <si>
    <t>conf/iros/CuiVLM14</t>
  </si>
  <si>
    <t>https://doi.org/10.1109/IROS.2014.6942765</t>
  </si>
  <si>
    <t>Software architecture and task plan co-adaptation for mobile service robots.</t>
  </si>
  <si>
    <t>Javier Cámara &amp; Bradley R. Schmerl &amp; David Garlan</t>
  </si>
  <si>
    <t>conf/icse/CamaraSG20</t>
  </si>
  <si>
    <t>https://doi.org/10.1145/3387939.3391591</t>
  </si>
  <si>
    <t>Self-Adaptive_Systems</t>
  </si>
  <si>
    <t>MAUVE Runtime: A Component-Based Middleware to Reconfigure Software Architectures in Real-Time.</t>
  </si>
  <si>
    <t>David Doose &amp; Christophe Grand &amp; Charles Lesire</t>
  </si>
  <si>
    <t>conf/irc/DooseGL17</t>
  </si>
  <si>
    <t>https://doi.org/10.1109/IRC.2017.47</t>
  </si>
  <si>
    <t>Adaptive Run-Time Models for Groups of Autonomous Robots.</t>
  </si>
  <si>
    <t>Stefan Niemczyk &amp; Kurt Geihs</t>
  </si>
  <si>
    <t>conf/icse/NiemczykG15</t>
  </si>
  <si>
    <t>https://doi.org/10.1109/SEAMS.2015.21</t>
  </si>
  <si>
    <t>An integrated model-based diagnosis and repair architecture for ROS-based robot systems.</t>
  </si>
  <si>
    <t>Safdar Zaman &amp; Gerald Steinbauer &amp; Johannes Maurer &amp; Peter Lepej &amp; Suzana Uran</t>
  </si>
  <si>
    <t>conf/icra/ZamanSMLU13</t>
  </si>
  <si>
    <t>https://doi.org/10.1109/ICRA.2013.6630618</t>
  </si>
  <si>
    <t>Localization Uncertainty-driven Adaptive Framework for Controlling Ground Vehicle Robots.</t>
  </si>
  <si>
    <t>Daniel Kent &amp; Philip K. McKinley &amp; Hayder Radha</t>
  </si>
  <si>
    <t>conf/iros/KentMR20</t>
  </si>
  <si>
    <t>https://doi.org/10.1109/IROS45743.2020.9341427</t>
  </si>
  <si>
    <t>RRA: Models and tools for robotics run-time adaptation.</t>
  </si>
  <si>
    <t>Luca Gherardi &amp; Nico Hochgeschwender</t>
  </si>
  <si>
    <t>conf/iros/GherardiH15</t>
  </si>
  <si>
    <t>https://doi.org/10.1109/IROS.2015.7353608</t>
  </si>
  <si>
    <t>How to secure autonomous mobile robots? An approach with fuzzing; detection and mitigation.</t>
  </si>
  <si>
    <t>Chundong Wang 0001 &amp; Yee Ching Tok &amp; Rohini Poolat &amp; Sudipta Chattopadhyay 0001 &amp; Mohan Rajesh Elara</t>
  </si>
  <si>
    <t>journals/jsa/WangTPCE21</t>
  </si>
  <si>
    <t>https://doi.org/10.1016/j.sysarc.2020.101838</t>
  </si>
  <si>
    <t>Real-time software module design framework for building self-adaptive robotic systems.</t>
  </si>
  <si>
    <t>Yanzhe Cui &amp; Joshua T. Lane &amp; Richard M. Voyles</t>
  </si>
  <si>
    <t>conf/iros/CuiLV15</t>
  </si>
  <si>
    <t>https://doi.org/10.1109/IROS.2015.7353731</t>
  </si>
  <si>
    <t>Revision (Updating to June 2024)</t>
  </si>
  <si>
    <t>RealCaPP: Real-Time Capable Plug &amp; Produce Service Architecture for Distributed Robot Control.</t>
  </si>
  <si>
    <t>Christian EymÃ¼ller &amp; Julian Hanke &amp; Alexander Poeppel &amp; Constantin Wanninger &amp; Wolfgang Reif</t>
  </si>
  <si>
    <t>conf/irc/EymullerHPWR23</t>
  </si>
  <si>
    <t>https://doi.org/10.1109/IRC59093.2023.00063</t>
  </si>
  <si>
    <t>Forward Snowballing (first iteration)</t>
  </si>
  <si>
    <t>Tuning self-adaptation in cyber-physical systems through architectural homeostasis</t>
  </si>
  <si>
    <t>Ilias Gerostathopoulos, Dominik Skoda, Frantisek Plasil, Tomas Bures, Alessia Knauss</t>
  </si>
  <si>
    <t>https://doi.org/10.1016/j.jss.2018.10.051</t>
  </si>
  <si>
    <t>this is a journal extension to primary paper 5</t>
  </si>
  <si>
    <t>A mechanism for real-time decision making and system maintenance for resource constrained robotic systems through ReFrESH</t>
  </si>
  <si>
    <t xml:space="preserve">Cui, Y., Voyles, R.M., Lane, J.T. et al. </t>
  </si>
  <si>
    <t>https://doi.org/10.1007/s10514-015-9472-x</t>
  </si>
  <si>
    <t>folow-up to primary 8</t>
  </si>
  <si>
    <t>A Modeling Tool for Reconfigurable Skills in ROS</t>
  </si>
  <si>
    <t>D. Bozhinoski, E. Aguado, M. G. Oviedo, C. Hernandez, R. Sanz and A. Wąsowski</t>
  </si>
  <si>
    <t>https://doi.org/10.1109/RoSE52553.2021.00011</t>
  </si>
  <si>
    <t>MROS for sure, but this paper is a bit short.</t>
  </si>
  <si>
    <t>ICE: self-configuration of information processing in heterogeneous agent teams</t>
  </si>
  <si>
    <t>Niemczyk, Stefan and Opfer, Stephan and Fredivianus, Nugroho and Geihs, Kurt</t>
  </si>
  <si>
    <t>https://doi.org/10.1145/3019612.3019653</t>
  </si>
  <si>
    <t>follow-up to primary 11</t>
  </si>
  <si>
    <t>Effective Crash Recovery of Robot Software Programs in ROS</t>
  </si>
  <si>
    <t xml:space="preserve">Y. -H. Zou and J. -J. Bai, </t>
  </si>
  <si>
    <t>doi.org/10.1109/ICRA48506.2021.9560876</t>
  </si>
  <si>
    <t>for me they have a adaptation manager in the BG which adapts (restarts) a node with some gathered Knowledge when it Analyzes it to have crashed :)</t>
  </si>
  <si>
    <t>Fault Detection Using Sensors Data Trends for Autonomous Robotic Mapping,</t>
  </si>
  <si>
    <t xml:space="preserve">S. Zaman, F. Ahmad, M. Qasim Khan, S. Ali Shah, A. Jabeen and N. Aftab, </t>
  </si>
  <si>
    <t>doi.org/10.1109/CEET1.2019.8711846</t>
  </si>
  <si>
    <t>its another follow-up, but I'm less sure</t>
  </si>
  <si>
    <t>A Model-Based Fault Detection, Diagnosis and Repair for Autonomous Robotics systems</t>
  </si>
  <si>
    <t>Stefan Loigge, Clemens Mühlbacher, Gerald Steinbauer, Stephan Gspandl, Michael Reip</t>
  </si>
  <si>
    <t>https://www.joanneum.at/fileadmin/ROBOTICS/ARW_Proceedings/2017_ARW-Proceedings.pdf</t>
  </si>
  <si>
    <t>I think it works, it presents an alternative approach to do the same as in primary 12</t>
  </si>
  <si>
    <t>Model-Based Development of QoS-Aware Reconfigurable Autonomous Robotic Systems</t>
  </si>
  <si>
    <t>D. Brugali, R. Capilla, R. Mirandola and C. Trubiani</t>
  </si>
  <si>
    <t>https://doi.org/10.1109/IRC.2018.00027</t>
  </si>
  <si>
    <t>Graph-based software knowledge: Storage and semantic querying of domain models for run-time adaptation</t>
  </si>
  <si>
    <t>N. Hochgeschwender, S. Schneider, H. Voos, H. Bruyninckx and G. K. Kraetzschmar</t>
  </si>
  <si>
    <t>https://doi.org/10.1109/SIMPAR.2016.7862379</t>
  </si>
  <si>
    <t>despite one author overlap I don't think it is a direct follow-up</t>
  </si>
  <si>
    <t>Context-based navigation for ground mobile robot in semi-structured indoor environment</t>
  </si>
  <si>
    <t>Darko Bozhinoski; Jasper Wijkhuizen</t>
  </si>
  <si>
    <t>https://doi.org/10.1109/IRC52146.2021.00019</t>
  </si>
  <si>
    <t>Context-Based Adaptation of In-Hand Slip Detection for Service Robots</t>
  </si>
  <si>
    <t xml:space="preserve">Jose Sanchez *, Sven Schneider *, Nico Hochgeschwender *, Gerhard K. Kraetzschmar *, Paul G. Plöger </t>
  </si>
  <si>
    <t>https://doi.org/10.1016/j.ifacol.2016.07.765</t>
  </si>
  <si>
    <t>SUAVE: An Exemplar for Self-Adaptive Underwater Vehicles</t>
  </si>
  <si>
    <t>Gustavo Rezende Silva, Juliane Päßler, Jeroen Zwanepol, Elvin Alberts, S. Lizeth Tapia Tarifa, Ilias Gerostathopoulos, Einar Broch Johnsen, Carlos Hernández Corbato</t>
  </si>
  <si>
    <t>https://doi.org/10.1109/SEAMS59076.2023.00031</t>
  </si>
  <si>
    <t>Backward Snowballing (first iteration)</t>
  </si>
  <si>
    <t>Taming uncertainty in self-adaptive software</t>
  </si>
  <si>
    <t>Esfahani, S., N., Kouroshfar, E., Malek</t>
  </si>
  <si>
    <t>https://doi.org/10.1145/2025113.2025147</t>
  </si>
  <si>
    <t>am quite certain</t>
  </si>
  <si>
    <t>Dyknow: A dynamically reconfigurable stream reasoning framework as an extension to the robot operating system</t>
  </si>
  <si>
    <t>de Leng, F., D., Heintz</t>
  </si>
  <si>
    <t>https://doi.org/10.1109/simpar.2016.7862375</t>
  </si>
  <si>
    <t>prev work for primary 7</t>
  </si>
  <si>
    <t>A self-adaptation framework for resource constrained miniature search and rescue robots</t>
  </si>
  <si>
    <t>Cui, 2012, Y., Voyles, R., He, M., Jiang, G., Mahoor, M., Nov</t>
  </si>
  <si>
    <t>https://doi.org/10.1109/ssrr.2012.6523874</t>
  </si>
  <si>
    <t>8,16</t>
  </si>
  <si>
    <t>prev. work from primary 8 and 16</t>
  </si>
  <si>
    <t>Machine learning meets quantitative planning: Enabling self-adaptation in autonomous robots</t>
  </si>
  <si>
    <t>Jamshidi, D., P., Cßmara, J., Schmerl, B., KΣstner, C., Garlan</t>
  </si>
  <si>
    <t>https://doi.org/10.1109/seams.2019.00015</t>
  </si>
  <si>
    <t xml:space="preserve">prev. work for the primary </t>
  </si>
  <si>
    <t>A task-based and resource-aware approach to dynamically generate optimal software architecture for intelligent service robots</t>
  </si>
  <si>
    <t>Park, H.-M., Y.-S., Koo</t>
  </si>
  <si>
    <t>https://doi.org/10.1002/spe.1074</t>
  </si>
  <si>
    <t>looks good</t>
  </si>
  <si>
    <t>Managing run-time variability in robotics software by modeling functional and non-functional behavior</t>
  </si>
  <si>
    <t>Lotz, C., A., Ingle, J. F., Schlegel</t>
  </si>
  <si>
    <t>https://doi.org/10.1007/978-3-642-38484-4_31</t>
  </si>
  <si>
    <t>especially section 5 is convincing.</t>
  </si>
  <si>
    <t>First Iteration</t>
  </si>
  <si>
    <t>Original Primary ID</t>
  </si>
  <si>
    <t>title</t>
  </si>
  <si>
    <t>year</t>
  </si>
  <si>
    <t>authors</t>
  </si>
  <si>
    <t>ee</t>
  </si>
  <si>
    <t>I1 - Robots</t>
  </si>
  <si>
    <t>I2 - SA</t>
  </si>
  <si>
    <t>I3 - Self-adaptation</t>
  </si>
  <si>
    <t>I4 - Peer-reviewed</t>
  </si>
  <si>
    <t>I5 - After 2011 Before 2024/06/02</t>
  </si>
  <si>
    <t>E1 - Adapt not SA</t>
  </si>
  <si>
    <t>E2 - English</t>
  </si>
  <si>
    <t>E3 - Not available</t>
  </si>
  <si>
    <t>E4 - Secondary studies</t>
  </si>
  <si>
    <t>Already discovered prev.</t>
  </si>
  <si>
    <t>Thesis</t>
  </si>
  <si>
    <t>Included</t>
  </si>
  <si>
    <t>Notes</t>
  </si>
  <si>
    <t>Interlocking Safety Cases for Unmanned Autonomous Systems in Shared Airspaces</t>
  </si>
  <si>
    <t>Vierhauser, Michael and Bayley, Sean and Wyngaard, Jane and Xiong, Wandi and Cheng, Jinghui and Huseman, Joshua and Lutz, Robyn and Cleland-Huang, Jane</t>
  </si>
  <si>
    <t>https://doi.org/10.1109/TSE.2019.2907595</t>
  </si>
  <si>
    <t>No</t>
  </si>
  <si>
    <t>Cyber-security for Mobile Service Robots – Challenges for Cyber-physical System Safety</t>
  </si>
  <si>
    <t>Dudek, Wojciech and Szynkiewicz, Wojciech</t>
  </si>
  <si>
    <t>http://dx.doi.org/10.26636/jtit.2019.131019</t>
  </si>
  <si>
    <t>Cyberbezpieczeństwo robotów-nowe wyzwania dla zabezpieczeń systemów cyber-fizycznych</t>
  </si>
  <si>
    <t xml:space="preserve"> DESCRIÇÃO GEOMÉTRICA, CINEMÁTICA E DE ESFORÇOS PARA TAREFAS DE MANIPULAÇÃO USANDO QUATÉRNIOS DUAIS</t>
  </si>
  <si>
    <t>Applying Machine Learning in Self-adaptive Systems: A Systematic Literature Review</t>
  </si>
  <si>
    <t>Gheibi, Omid and Weyns, Danny and Quin, Federico</t>
  </si>
  <si>
    <t>https://doi.org/10.1145/3469440</t>
  </si>
  <si>
    <t>Controlled experimentation in continuous experimentation: Knowledge and challenges</t>
  </si>
  <si>
    <t>Florian Auer, Rasmus Ros, Lukas Kaltenbrunner, Per Runeson, Michael Felderer</t>
  </si>
  <si>
    <t>https://doi.org/10.1016/j.infsof.2021.106551</t>
  </si>
  <si>
    <t>Cyber-physical system homeostatic security management</t>
  </si>
  <si>
    <t xml:space="preserve">Zegzhda, D.P., Pavlenko, E.Y. </t>
  </si>
  <si>
    <t>https://doi.org/10.3103/S0146411617080260</t>
  </si>
  <si>
    <t>Systematization and security assessment of cyber-physical systems</t>
  </si>
  <si>
    <t xml:space="preserve">Zegzhda, D.P., Poltavtseva, M.A. &amp; Lavrova, D.S. </t>
  </si>
  <si>
    <t>https://doi.org/10.3103/S0146411617080272</t>
  </si>
  <si>
    <t>An Open-Source Wireless Sensor Node Platform with Active Node-Level Reliability for Monitoring Applications</t>
  </si>
  <si>
    <t xml:space="preserve">Widhalm, D.; Goeschka, K.M.; Kastner, W. </t>
  </si>
  <si>
    <t>https://doi.org/10.3390/s21227613</t>
  </si>
  <si>
    <t>Cyber-sustainability of Software-Defined Networks Based on Situational Management</t>
  </si>
  <si>
    <t>Zegzhda, D.P., Pavlenko, E.Y.</t>
  </si>
  <si>
    <t>https://doi.org/10.3103/S0146411618080291</t>
  </si>
  <si>
    <t>Yes</t>
  </si>
  <si>
    <t>Bio-inspired Approach to Self-Regulation for Industrial Dynamic Network Infrastructure</t>
  </si>
  <si>
    <t>Daria Lavrova. Elizaveta Zaitceva. Petr Zegzhda</t>
  </si>
  <si>
    <t>https://ceur-ws.org/Vol-2603/short8.pdf</t>
  </si>
  <si>
    <t>Criterion Of Cyber-Physical Systems Sustainability</t>
  </si>
  <si>
    <t>Evgeny Pavlenko, Dmitry Zegzhda, Anna Shtyrkina</t>
  </si>
  <si>
    <t>https://ceur-ws.org/Vol-2603/short13.pdf</t>
  </si>
  <si>
    <t>SACRE: Supporting contextual requirements’ adaptation in modern self-adaptive systems in the presence of uncertainty at runtime</t>
  </si>
  <si>
    <t>Edith Zavala, Xavier Franch, Jordi Marco, Alessia Knauss, Daniela Damian</t>
  </si>
  <si>
    <t>https://doi.org/10.1016/j.eswa.2018.01.009</t>
  </si>
  <si>
    <t>Management of a Dynamic Infrastructure of Complex Systems Under Conditions of Directed Cyber Attacks</t>
  </si>
  <si>
    <t>Zegzhda, D.P., Lavrova, D.S. &amp; Pavlenko, E.Y.</t>
  </si>
  <si>
    <t>https://doi.org/10.1134/S1064230720020124</t>
  </si>
  <si>
    <t>СИСТЕМАТИЗАЦИЯ КИБЕРФИЗИЧЕСКИХ СИСТЕМИ ОЦЕНКА ИЗ БЕЗОПАСНОСТИ</t>
  </si>
  <si>
    <t>ZEGZHDA P.D. 1 , Poltavtseva M.A. 1 , LAVROV D.S. 1</t>
  </si>
  <si>
    <t>https://www.elibrary.ru/ytyofd</t>
  </si>
  <si>
    <t>Application of the Learning Automaton Model for Ensuring Cyber Resiliency</t>
  </si>
  <si>
    <t>Kalinin, M.; Ovasapyan, T.; Poltavtseva, M.</t>
  </si>
  <si>
    <t>https://doi.org/10.3390/sym14102208</t>
  </si>
  <si>
    <t>Strengthening Adaptation in Cyber-Physical Systems via Meta-Adaptation Strategies</t>
  </si>
  <si>
    <t>Gerostathopoulos, Ilias and Bures, Tomas and Hnetynka, Petr and Hujecek, Adam and Plasil, Frantisek and Skoda, Dominik</t>
  </si>
  <si>
    <t>https://doi.org/10.1145/2823345</t>
  </si>
  <si>
    <t>Ensuring the sustainability of cyberphysical systems based on dynamic reconfiguration</t>
  </si>
  <si>
    <t>E. Pavlenko, D. Zegzhda and M. Poltavtseva</t>
  </si>
  <si>
    <t>https://doi.org/10.1109/ICPHYS.2019.8780193</t>
  </si>
  <si>
    <t>Estimating the sustainability of cyber-physical systems based on spectral graph theory</t>
  </si>
  <si>
    <t>P. Evgeny, Z. Dmitry and S. Anna</t>
  </si>
  <si>
    <t>https://doi.org/10.1109/BlackSeaCom.2019.8812826</t>
  </si>
  <si>
    <t>Uncertainty-wise Software Engineering of Complex Systems: A Systematic Mapping Study</t>
  </si>
  <si>
    <t>TAN Chao; ZHANG Jing-Xuan; WANG Tie-Xin; YUE Tao</t>
  </si>
  <si>
    <t>http://www.jos.org.cn/josen/article/abstract/6267</t>
  </si>
  <si>
    <t>duplicate on google scholar</t>
  </si>
  <si>
    <t>Approaches to Modeling the Security of Cyberphysical Systems</t>
  </si>
  <si>
    <t>Zegzhda, D.P., Vasil’ev, Y.S. &amp; Poltavtseva, M.A.</t>
  </si>
  <si>
    <t>https://doi.org/10.3103/S014641161808031X</t>
  </si>
  <si>
    <t>ГОМЕОСТАТИЧЕСКАЯ СТРАТЕГИЯ БЕЗОПАСНОСТИ КИБЕРФИЗИЧЕСКИХ СИСТЕМ</t>
  </si>
  <si>
    <t>ZEGZHDA D.P. 1 , PAVLENKO E.Yu. 1</t>
  </si>
  <si>
    <t>https://www.elibrary.ru/yllueq</t>
  </si>
  <si>
    <t>УПРАВЛЕНИЕ ДИНАМИЧЕСКОЙ ИНФРАСТРУКТУРОЙ СЛОЖНЫХ СИСТЕМ В УСЛОВИЯХ ЦЕЛЕНАПРАВЛЕННЫХ КИБЕРАТАК</t>
  </si>
  <si>
    <t xml:space="preserve">ZEGZHDA D.P. 1 , LAVROV D.S. * 1 , PAVLENKO E.Yu. </t>
  </si>
  <si>
    <t>https://www.elibrary.ru/gjzdhc</t>
  </si>
  <si>
    <t>Self-Adaptive Data Processing to Improve SLOs for Dynamic IoT Workloads</t>
  </si>
  <si>
    <t>Chindanonda, P.; Podolskiy, V.; Gerndt, M.</t>
  </si>
  <si>
    <t>https://doi.org/10.3390/computers9010012</t>
  </si>
  <si>
    <t>Cybersecurity and Control Sustainability in Digital Economy and Advanced Production</t>
  </si>
  <si>
    <t>Zegzhda, D.P., Pavlenko, E., Shtyrkina, A.</t>
  </si>
  <si>
    <t>https://doi.org/10.1007/978-3-030-59959-1_11</t>
  </si>
  <si>
    <t>Mathematical Methods for Implementing Homeostatic Control in Digital Production Systems</t>
  </si>
  <si>
    <t xml:space="preserve">Pavlenko, E., Poltavtseva, M. </t>
  </si>
  <si>
    <t>https://doi.org/10.1007/978-3-030-64430-7_1</t>
  </si>
  <si>
    <t>ОБЕСПЕЧЕНИЕ УСТОЙЧИВОСТИ ФУНКЦИОНИРОВАНИЯ КИБЕРФИЗИЧЕСКИХ СИСТЕМ НА ОСНОВЕ ДИНАМИЧЕСКОГО ПЕРЕКОНФИГУРИРОВАНИЯ</t>
  </si>
  <si>
    <t>https://www.elibrary.ru/uilzpw</t>
  </si>
  <si>
    <t>ОБЕСПЕЧЕНИЕ КИБЕРУСТОЙЧИВОСТИ ПРОГРАММНО-КОНФИГУРИРУЕМЫХ СЕТЕЙ НА ОСНОВЕ СИТУАЦИОННОГО УПРАВЛЕНИЯ</t>
  </si>
  <si>
    <t>https://www.elibrary.ru/otviqv</t>
  </si>
  <si>
    <t>Learning Approach for Smart Self-Adaptive Cyber-Physical Systems</t>
  </si>
  <si>
    <t xml:space="preserve">A. Petrovska and A. Pretschner, </t>
  </si>
  <si>
    <t>https://doi.org/10.1109/FAS-W.2019.00061</t>
  </si>
  <si>
    <t>doctoral symp. only for snowballing</t>
  </si>
  <si>
    <t>Towards automated safety analysis for architectures of dynamically forming networks of cyber-physical systems</t>
  </si>
  <si>
    <t>Brings, Jennifer and Daun, Marian</t>
  </si>
  <si>
    <t>https://doi.org/10.1145/3387940.3391474</t>
  </si>
  <si>
    <t xml:space="preserve"> Modeling and Verifying Dynamic Architectures with FACTUM Studio</t>
  </si>
  <si>
    <t xml:space="preserve">Gidey, H.K., Collins, A., Marmsoler, D. </t>
  </si>
  <si>
    <t>https://doi.org/10.1007/978-3-030-40914-2_13</t>
  </si>
  <si>
    <t>Towards Formalizing Data-Driven Decision-Making from Big Data: A Systematic Multi-Criteria Decision-Making Approach in Online Controlled Experiments</t>
  </si>
  <si>
    <t>Wu, Jie JW.</t>
  </si>
  <si>
    <t>https://www.proquest.com/openview/c67842b50b097aa6410d753157b3cb3a/1?pq-origsite=gscholar&amp;cbl=18750&amp;diss=y</t>
  </si>
  <si>
    <t>A Theoretical Framework for Self-Adaptive Systems: Specifications, Formalisation, and Architectural Implications</t>
  </si>
  <si>
    <t>Ana Petrovska, Thomas Hutzelmann, Stefan Kugele</t>
  </si>
  <si>
    <t>https://doi.org/10.1145/3555776.3577665</t>
  </si>
  <si>
    <t>ПОДХОДЫ К МОДЕЛИРОВАНИЮ БЕЗОПАСНОСТИ КИБЕРФИЗИЧЕСКИХ СИСТЕМ</t>
  </si>
  <si>
    <t>ZEGZHDA D.P. 1 , Vasiliev Yu.S. 1 , Poltavtseva M.A. 1</t>
  </si>
  <si>
    <t>https://www.elibrary.ru/yllufi</t>
  </si>
  <si>
    <t>Understanding and Improving Continuous Experimentation From A/B Testing to Continuous Software Optimization</t>
  </si>
  <si>
    <t>Ros, Rasmsus</t>
  </si>
  <si>
    <t>https://lucris.lub.lu.se/ws/portalfiles/portal/113738030/Thesis_Rasmus_Ros.pdf</t>
  </si>
  <si>
    <t>ОБЕСПЕЧЕНИЕ ИНФОРМАЦИОННОЙ БЕЗОПАСНОСТИ КИБЕРФИЗИЧЕСКИХ СИСТЕМ НА ОСНОВЕ ПРИНЦИПА ГОМЕОСТАЗА</t>
  </si>
  <si>
    <t>https://www.elibrary.ru/ypuydj</t>
  </si>
  <si>
    <t>SemRob: Towards Semantic Stream Reasoning for Robotic Operating Systems</t>
  </si>
  <si>
    <t>Manh Nguyen-Duc, Anh Le-Tuan, Manfred Hauswirth, David Bowden, Danh Le-Phuoc</t>
  </si>
  <si>
    <t>https://doi.org/10.48550/arXiv.2201.11625</t>
  </si>
  <si>
    <t>meta, WIP roadmap, no clear details on what they mean by adaptation,</t>
  </si>
  <si>
    <t>Robust Stream Reasoning Under Uncertainty</t>
  </si>
  <si>
    <t>D De Leng</t>
  </si>
  <si>
    <t>https://liu.diva-portal.org/smash/record.jsf?pid=diva2%3A1367625&amp;dswid=-7753</t>
  </si>
  <si>
    <t>Ontology-based Access to Temporal Data</t>
  </si>
  <si>
    <t>Elem Güzel Kalayci</t>
  </si>
  <si>
    <t>https://hdl.handle.net/10863/25140</t>
  </si>
  <si>
    <t>Spatio-Temporal Stream Reasoning with Adaptive State Stream Generation</t>
  </si>
  <si>
    <t>https://liu.diva-portal.org/smash/record.jsf?pid=diva2%3A1139231&amp;dswid=-3553</t>
  </si>
  <si>
    <t>Robot–City Interaction: Mapping the Research Landscape—A Survey of the Interactions Between Robots and Modern Cities</t>
  </si>
  <si>
    <t xml:space="preserve">Tiddi, I., Bastianelli, E., Daga, E. et al. </t>
  </si>
  <si>
    <t>https://doi.org/10.1007/s12369-019-00534-x</t>
  </si>
  <si>
    <t>:)</t>
  </si>
  <si>
    <t>Functional Self-Awareness and Metacontrol for Underwater Robot Autonomy</t>
  </si>
  <si>
    <t xml:space="preserve">Aguado, E.; Milosevic, Z.; Hernández, C.; Sanz, R.; Garzon, M.; Bozhinoski, D.; Rossi, C. </t>
  </si>
  <si>
    <t>https://doi.org/10.3390/s21041210</t>
  </si>
  <si>
    <t>Towards adaptive multi-robot systems: self-organization and self-adaptation</t>
  </si>
  <si>
    <t xml:space="preserve">Hrabia, C., Lützenberger, M., &amp; Albayrak, S. </t>
  </si>
  <si>
    <t>https://doi.org/10.1017/S0269888918000176</t>
  </si>
  <si>
    <t>Managing safety and mission completion via collective run-time adaptation</t>
  </si>
  <si>
    <t>Darko Bozhinoski &amp; David Garlan &amp; Ivano Malavolta &amp; Patrizio Pelliccione</t>
  </si>
  <si>
    <t>https://doi.org/10.1016/j.sysarc.2019.02.018</t>
  </si>
  <si>
    <t>8,10,16</t>
  </si>
  <si>
    <t>Context-aware system synthesis, task assignment, and routing</t>
  </si>
  <si>
    <t xml:space="preserve">Ziglar, J., Williams, R.K. &amp; Wicks, A. </t>
  </si>
  <si>
    <t>https://doi.org/10.1007/s10514-022-10076-3</t>
  </si>
  <si>
    <t>Byzantine fault tolerance for centrally coordinated missions with unmanned vehicles</t>
  </si>
  <si>
    <t>Grigoropoulos, Nasos and Koutsoubelias, Manos and Lalis, Spyros</t>
  </si>
  <si>
    <t>https://doi.org/10.1145/3387902.3392622</t>
  </si>
  <si>
    <t>?</t>
  </si>
  <si>
    <t>Sustainable Safety in Mobile Multi-robot Systems via Collective Adaptation</t>
  </si>
  <si>
    <t>Bozhinoski, Darko and Malavolta, Ivano and Bucchiarone, Antonio and Marconi, Annapaola</t>
  </si>
  <si>
    <t>10.1109/SASO.2015.31</t>
  </si>
  <si>
    <t>Active Replication for Centrally Coordinated Teams of Autonomous Vehicles</t>
  </si>
  <si>
    <t>N. Grigoropoulos, M. Koutsoubelias and S. Lalis</t>
  </si>
  <si>
    <t>https://doi.org/10.1109/DCOSS.2019.00038</t>
  </si>
  <si>
    <t>pre-cursor to #64</t>
  </si>
  <si>
    <t>Real-time software module design framework for building self-adaptive robotic systems</t>
  </si>
  <si>
    <t>this is primary 16</t>
  </si>
  <si>
    <t>Self-Adaptive and Self-Organised Planning and Decision-Making for Multi-Robot Systems</t>
  </si>
  <si>
    <t>Christopher-Eyk Hrabia</t>
  </si>
  <si>
    <t>https://api-depositonce.tu-berlin.de/server/api/core/bitstreams/d3df013c-d38e-4fa3-bd54-be1e0dd4e97c/content</t>
  </si>
  <si>
    <t>EmSBot: A modular framework supporting the development of swarm robotics applications</t>
  </si>
  <si>
    <t xml:space="preserve">Peng L, Guan F, Perneel L, Timmerman M. </t>
  </si>
  <si>
    <t>https://doi.org/10.1177/1729881416663662</t>
  </si>
  <si>
    <t>Comparative Evaluation of Error Recovery Strategies for Robust Robot Navigation</t>
  </si>
  <si>
    <t>Devaiah Ulliyada Arun</t>
  </si>
  <si>
    <t>https://www.researchgate.net/profile/Devaiah-Ulliyada-Arun/publication/362080649_Comparative_Evaluation_of_Error_Recovery_Strategies_for_Robust_Robot_Navigation/links/62d5dbbbbf4b98532233cfbf/Comparative-Evaluation-of-Error-Recovery-Strategies-for-Robust-Robot-Navigation.pdf</t>
  </si>
  <si>
    <t>Safety for mobile robotic systems: A systematic mapping study from a software engineering perspective</t>
  </si>
  <si>
    <t>Darko Bozhinoski, Davide Di Ruscio, Ivano Malavolta, Patrizio Pelliccione, Ivica Crnkovic</t>
  </si>
  <si>
    <t>https://doi.org/10.1016/j.jss.2019.02.021</t>
  </si>
  <si>
    <t>8,11</t>
  </si>
  <si>
    <t>Managing safety and run-time adaptability in mission-critical Mobile Multi-robot system</t>
  </si>
  <si>
    <t>Darko Bozhinoski</t>
  </si>
  <si>
    <t>https://hdl.handle.net/20.500.12571/9644</t>
  </si>
  <si>
    <t>ReFrESH: An Infrastructure to Build Self-Aware Robotic Systems</t>
  </si>
  <si>
    <t>Yanzhe Cui</t>
  </si>
  <si>
    <t>https://search.proquest.com/openview/30e1456e247f7738ae5128bf4e14323e/1?pq-origsite=gscholar&amp;cbl=18750</t>
  </si>
  <si>
    <t>Context-based selection and execution of robot perception graphs</t>
  </si>
  <si>
    <t>N. Hochgeschwender, M. A. Olivares-Mendez, H. Voos and G. K. Kraetzschmar</t>
  </si>
  <si>
    <t>https://doi.org/10.1109/ETFA.2015.7301631</t>
  </si>
  <si>
    <t>an earlier version of this paper cites the primary study and exists on google scholar. This version does not</t>
  </si>
  <si>
    <t>SiAlON Seramiklerinin Karbon Fiber Takviyeli Polimer Kompozit Malzemelerin Delme Operasyonlarındaki Performansları</t>
  </si>
  <si>
    <t>Ali ÇELİK</t>
  </si>
  <si>
    <t>https://search.proquest.com/openview/d0fca4c5bb9405be68643cdf5796eb96/1?pq-origsite=gscholar&amp;cbl=2026366&amp;diss=y</t>
  </si>
  <si>
    <t>Defining adaptivity and logical architecture for engineering (smart) self-adaptive cyber–physical systems</t>
  </si>
  <si>
    <t>Ana Petrovska, Stefan Kugele, Thomas Hutzelmann, Theo Beffart, Sebastian Bergemann, Alexander Pretschner</t>
  </si>
  <si>
    <t>https://doi.org/10.1016/j.infsof.2022.106866</t>
  </si>
  <si>
    <t>it is not about one robot system per se but rather more meta.</t>
  </si>
  <si>
    <t>How do we Evaluate Self-adaptive Software Systems?: A Ten-Year Perspective of SEAMS</t>
  </si>
  <si>
    <t>I. Gerostathopoulos, T. Vogel, D. Weyns and P. Lago</t>
  </si>
  <si>
    <t>https://doi.org/10.1109/SEAMS51251.2021.00018</t>
  </si>
  <si>
    <t>Explaining quality attribute tradeoffs in automated planning for self-adaptive systems</t>
  </si>
  <si>
    <t>Rebekka Wohlrab, Javier Cámara, David Garlan, Bradley Schmerl,</t>
  </si>
  <si>
    <t>https://doi.org/10.1016/j.jss.2022.111538</t>
  </si>
  <si>
    <t>its not really about the robots, nor their architecture, rather about planning and quality.</t>
  </si>
  <si>
    <t>Hierarchical Control for Self-adaptive IoT Systems A Constraint Programming-Based Adaptation Approach</t>
  </si>
  <si>
    <t>Mahyar Tourchi Moghaddam. Eric Rutten, Guillaume Giraud</t>
  </si>
  <si>
    <t>https://inria.hal.science/hal-03461137</t>
  </si>
  <si>
    <t>Development and Integration of Self-Adaptation Strategies for Robotics Software</t>
  </si>
  <si>
    <t>Elvin Alberts</t>
  </si>
  <si>
    <t>https://doi.org/10.1109/ICSA-C57050.2023.00038</t>
  </si>
  <si>
    <t>first authors phd symposium paper, there's no actual robot involved.</t>
  </si>
  <si>
    <t>A Survey on Self-adaptation Planning Optimization Techniques</t>
  </si>
  <si>
    <t>R. Bousselidj, S. Boulehouache and S. Brahimi</t>
  </si>
  <si>
    <t>https://doi.org/10.1109/NTIC55069.2022.10100355</t>
  </si>
  <si>
    <t>Towards Planning and Adaptation of Assistive-care Robot Tasks</t>
  </si>
  <si>
    <t>Jordan Hamilton and Ioannis Stefanakos and Radu Calinescu and Javier Camara</t>
  </si>
  <si>
    <t>https://eprints.whiterose.ac.uk/191116/</t>
  </si>
  <si>
    <t>there's another (identical) version with a slightly different name. It is not a full work yet so there isn't any data to extract. The data that is there does not suggest it will be useful for snowballing.</t>
  </si>
  <si>
    <t>Service Robotics Software Engineering</t>
  </si>
  <si>
    <t>García, Sergio</t>
  </si>
  <si>
    <t>https://gupea.ub.gu.se/handle/2077/68935</t>
  </si>
  <si>
    <t>Automated Scheduling of Multi-Robot System Missions: An Architectural Perspective</t>
  </si>
  <si>
    <t>Gricel Vazquez</t>
  </si>
  <si>
    <t>http://ceur-ws.org/Vol-2978/ds-paper97.pdf</t>
  </si>
  <si>
    <t>Towards self-adaptive machine learning-enabled systems through QoS-aware model switching</t>
  </si>
  <si>
    <t>Shubham Kulkarni; Arya Marda; Karthik Vaidhyanathan</t>
  </si>
  <si>
    <t>https://doi.org/10.1109/ASE56229.2023.00172</t>
  </si>
  <si>
    <t>Adapting specifications for reactive controllers</t>
  </si>
  <si>
    <t>Titus Buckworth; Dalal Alrajeh; Jeff Kramer; Sebastian Uchitel</t>
  </si>
  <si>
    <t>https://doi.org/10.1109/SEAMS59076.2023.00012</t>
  </si>
  <si>
    <t>Robotics: A New Mission for FRET Requirements</t>
  </si>
  <si>
    <t>Vázquez, G., Mavridou, A., Farrell, M., Pressburger, T., Calinescu, R</t>
  </si>
  <si>
    <t>https://doi.org/10.1007/978-3-031-60698-4_22</t>
  </si>
  <si>
    <t>Runtime Verification and Field Testing for ROS-Based Robotic Systems</t>
  </si>
  <si>
    <t>Ricardo Caldas, Juan Antonio Piñera García, Matei Schiopu, Patrizio Pelliccione, Genaína Rodrigues, Thorsten Berger</t>
  </si>
  <si>
    <t>https://arxiv.org/abs/2404.11498</t>
  </si>
  <si>
    <t>9,10,14</t>
  </si>
  <si>
    <t>Software Reconfiguration in Robotics</t>
  </si>
  <si>
    <t>Sven Peldszus, Davide Brugali, Daniel Strüber, Patrizio Pelliccione, Thorsten Berger</t>
  </si>
  <si>
    <t>https://arxiv.org/abs/2310.01039</t>
  </si>
  <si>
    <t>Runtime Architecture and Task Plan Co-Adaptation for Autonomous Robots with Metaplan</t>
  </si>
  <si>
    <t>Jeroen M. Zwanepol, Gustavo Rezende Silva, Carlos Hernández Corbato</t>
  </si>
  <si>
    <t>https://arxiv.org/abs/2312.10525</t>
  </si>
  <si>
    <t>Software as a Device in Edge Computing</t>
  </si>
  <si>
    <t>Juric, Radmila Suh, Sang Ronchieri, Elisabetta Tanik, Murat Carbone, John Mcclenaghan, Karoline</t>
  </si>
  <si>
    <t>https://hdl.handle.net/10125/107293</t>
  </si>
  <si>
    <t xml:space="preserve">Molecular Evolution of Chloroplast Genomes of Orchid Species: Insights into Phylogenetic Relationship and Adaptive Evolution </t>
  </si>
  <si>
    <t>Dong, W.-L.; Wang, R.-N.; Zhang, N.-Y.; Fan, W.-B.; Fang, M.-F.; Li, Z.-H.</t>
  </si>
  <si>
    <t>https://doi.org/10.3390/ijms19030716</t>
  </si>
  <si>
    <t>these guys are citing the wrong MAUVE I think.</t>
  </si>
  <si>
    <t>Recent Trends in Formal Validation and Verification of Autonomous Robots Software</t>
  </si>
  <si>
    <t>F. Ingrand</t>
  </si>
  <si>
    <t>https://doi.org/10.1109/IRC.2019.00059</t>
  </si>
  <si>
    <t>The Complete Plastid Genome of Magnolia zenii and Genetic Comparison to Magnoliaceae species</t>
  </si>
  <si>
    <t xml:space="preserve">Li, Y.; Sylvester, S.P.; Li, M.; Zhang, C.; Li, X.; Duan, Y.; Wang, X. </t>
  </si>
  <si>
    <t>https://doi.org/10.3390/molecules24020261</t>
  </si>
  <si>
    <t>Evolutionary patterns of nucleotide substitution rates in plastid genomes of Quercus</t>
  </si>
  <si>
    <t>Xuan Li, Yongfu Li, Steven Paul Sylvester, Mingyue Zang, Yousry A. El-Kassaby, Yanming Fang</t>
  </si>
  <si>
    <t xml:space="preserve"> https://doi.org/10.1002/ece3.8063</t>
  </si>
  <si>
    <t>A Design and Analysis Methodology for Component-Based Real-Time Architectures of Autonomous Systems</t>
  </si>
  <si>
    <t xml:space="preserve">Nicolas Gobillot, Charles Lesire &amp; David Doose </t>
  </si>
  <si>
    <t>https://doi.org/10.1007/s10846-018-0967-5</t>
  </si>
  <si>
    <t>It is a follow-up but as far as I can see they don't focus on re-configuration at all</t>
  </si>
  <si>
    <t>The complete chloroplast genome and characteristics analysis of Callistemon rigidus</t>
  </si>
  <si>
    <t>Liu, F., Movahedi, A., Yang, W. et al.</t>
  </si>
  <si>
    <t>https://doi.org/10.1007/s11033-020-05567-4</t>
  </si>
  <si>
    <t>ASPiC: An Acting System Based on Skill Petri Net Composition</t>
  </si>
  <si>
    <t>C. Lesire and F. Pommereau</t>
  </si>
  <si>
    <t>https://doi.org/10.1109/IROS.2018.8594328</t>
  </si>
  <si>
    <t>its more planning than anything architectural</t>
  </si>
  <si>
    <t>The XBot2 real-time middleware for robotics</t>
  </si>
  <si>
    <t>Arturo Laurenzi, Davide Antonucci, Nikos G. Tsagarakis, Luca Muratore</t>
  </si>
  <si>
    <t>https://doi.org/10.1016/j.robot.2023.104379</t>
  </si>
  <si>
    <t>A formal toolchain for offline and run-time verification of robotic systems</t>
  </si>
  <si>
    <t>Silvano Dal Zilio a, Pierre-Emmanuel Hladik b, Félix Ingrand a, Anthony Mallet</t>
  </si>
  <si>
    <t>https://doi.org/10.1016/j.robot.2022.104301</t>
  </si>
  <si>
    <t>Phylogenetic relationships and molecular evolution of woody forest tree family Aceraceae based on plastid phylogenomics and nuclear gene variations</t>
  </si>
  <si>
    <t xml:space="preserve">Peng-Bin Dong a 1, Ruo-Nan Wang a 1, Nawal Afzal a 1, Mi-Li Liu a, Ming Yue a, Jian-Ni Liu b, Jiang-Li Tan a, Zhong-Hu Li </t>
  </si>
  <si>
    <t>https://doi.org/10.1016/j.ygeno.2021.03.037</t>
  </si>
  <si>
    <t>The complete chloroplast genome and characteristics analysis of Musa basjoo Siebold</t>
  </si>
  <si>
    <t xml:space="preserve">Fenxiang Liu, Ali Movahedi, Wenguo Yang, Dezhi Xu, Chuanbei Jiang, Jigang Xie &amp; Yu Zhang </t>
  </si>
  <si>
    <t>https://doi.org/10.1007/s11033-021-06702-5</t>
  </si>
  <si>
    <t>A hierarchical fault tolerant architecture for an autonomous robot</t>
  </si>
  <si>
    <t>A. Favier, A. Messioux, J. Guiochet, J. -C. Fabre and C. Lesire</t>
  </si>
  <si>
    <t>https://doi.org/10.1109/DSN-W50199.2020.00031</t>
  </si>
  <si>
    <t>50/50, maybe not architectural enough.. They are really presenting more of an approach/architecture as the title states. This means that a recovery mechamnism could be architectural but does not necessarily have to be. Does that mean we dismiss or instead use it for snowballing?</t>
  </si>
  <si>
    <t>Verification of Autonomous Robots: A Roboticist’s Bottom-Up Approach</t>
  </si>
  <si>
    <t xml:space="preserve">Ingrand, F. </t>
  </si>
  <si>
    <t>https://doi.org/10.1007/978-3-030-66494-7_8</t>
  </si>
  <si>
    <t>Synthesis of Real-Time Observers from Past-Time Linear Temporal Logic and Timed Specification</t>
  </si>
  <si>
    <t>C. Lesire, S. Roussel, D. Doose and C. Grand,</t>
  </si>
  <si>
    <t>https://doi.org/10.1109/ICRA.2019.8793754</t>
  </si>
  <si>
    <t>Intergiciel temp-réel distribué</t>
  </si>
  <si>
    <t>B Varillon</t>
  </si>
  <si>
    <t>https://scholar.googleusercontent.com/scholar?q=cache:o6RpWKcOrGEJ:scholar.google.com/&amp;hl=en&amp;as_sdt=2005&amp;sciodt=0,5</t>
  </si>
  <si>
    <t>Distributed real-time control architecture for electrohydraulic humanoid robots</t>
  </si>
  <si>
    <t>Subhi Jleilaty, Anas Ammounah, Ghiath Abdulmalek, Lydie Nouveliere, Hang Su, Samer Alfayad</t>
  </si>
  <si>
    <t>https://doi.org/10.1108/RIA-01-2024-0013</t>
  </si>
  <si>
    <t>Control Architecture for Electro-Hydraulic Humanoid Robot</t>
  </si>
  <si>
    <t>Subhi Jleilaty</t>
  </si>
  <si>
    <t>https://theses.hal.science/tel-04524748/</t>
  </si>
  <si>
    <t>Enhancing Human-in-the-Loop Adaptive Systems through Digital Twins and VR Interfaces</t>
  </si>
  <si>
    <t>E. Yigitbas, K. Karakaya, I. Jovanovikj and G. Engels</t>
  </si>
  <si>
    <t>doi.org/10.1109/SEAMS51251.2021.00015</t>
  </si>
  <si>
    <t>Collective Adaptation through Multi-Agents Ensembles: The Case of Smart Urban Mobility</t>
  </si>
  <si>
    <t>Antonio Bucchiarone</t>
  </si>
  <si>
    <t>https://doi.org/10.1145/3355562</t>
  </si>
  <si>
    <t>they are adapting an ensemble not architectures directly</t>
  </si>
  <si>
    <t>Software variability in service robotics</t>
  </si>
  <si>
    <t>García, S., Strüber, D., Brugali, D. et al.</t>
  </si>
  <si>
    <t>https://doi.org/10.1007/s10664-022-10231-5</t>
  </si>
  <si>
    <t>Environment-Centric Safety Requirements for Autonomous Unmanned Systems</t>
  </si>
  <si>
    <t>Y. Luo, Y. Yu, Z. Jin and H. Zhao,</t>
  </si>
  <si>
    <t>https://doi.org/10.1109/RE.2019.00054</t>
  </si>
  <si>
    <t>Leveraging Collective Run-Time Adaptation for UAV-Based Systems</t>
  </si>
  <si>
    <t>D. Bozhinoski, A. Bucchiarone, I. Malavolta, A. Marconi and P. Pelliccione</t>
  </si>
  <si>
    <t>https://doi.org/10.1109/SEAA.2016.41</t>
  </si>
  <si>
    <t>its a bit strange, its a preliminary for #104, the adaptation is more of a collective solver. Not really architectural</t>
  </si>
  <si>
    <t>Adaptive task-oriented message template for in-network processing</t>
  </si>
  <si>
    <t>Nguyen, The An Binh and Meurisch, Christian and Niemczyk, Stefan and Böhnstedt, Doreen and Geihs, Kurt and Mühlhäuser, Max and Steinmetz, Ralf</t>
  </si>
  <si>
    <t>https://doi.org/10.1109/NetSys.2017.7903952</t>
  </si>
  <si>
    <t>Decentralized Dynamic Adaptation for Service-Based Collective Adaptive Systems</t>
  </si>
  <si>
    <t>Bucchiarone, A., De Sanctis, M., Marconi, A.</t>
  </si>
  <si>
    <t>https://doi.org/10.1007/978-3-319-68136-8_1</t>
  </si>
  <si>
    <t>An application of semantic technologies to self adaptations</t>
  </si>
  <si>
    <t>F. Poggi, D. Rossi, P. Ciancarini and L. Bompani</t>
  </si>
  <si>
    <t>https://doi.org/10.1109/RTSI.2016.7740548</t>
  </si>
  <si>
    <t>Integrating Semantic Run-Time Models for Adaptive Software Systems</t>
  </si>
  <si>
    <t>Francesco Poggi1, Davide Rossi1 and Paolo Ciancarini2</t>
  </si>
  <si>
    <t>https://doi.org/10.13052/jwe1540-9589.18131</t>
  </si>
  <si>
    <t>extension of the above</t>
  </si>
  <si>
    <t>On-the-fly transformation synthesis for information sharing in heterogeneous multi-agent systems</t>
  </si>
  <si>
    <t>Niemczyk, Stefan and Fredivianus, Nugroho and Geihs, Kurt</t>
  </si>
  <si>
    <t>https://doi.org/10.1145/3019612.3019879</t>
  </si>
  <si>
    <t>(folllow-up) short, no specific robot involved</t>
  </si>
  <si>
    <t>Testing Self-Adaptive Systems A Model-based Approach to Resilience</t>
  </si>
  <si>
    <t>George Puschel</t>
  </si>
  <si>
    <t>https://nbn-resolving.org/urn:nbn:de:bsz:14-qucosa-237791</t>
  </si>
  <si>
    <t>Dynamic Adaptation of Service-Based Systems: a Design for Adaptation Framework</t>
  </si>
  <si>
    <t>M. De Sanctis</t>
  </si>
  <si>
    <t>https://iris.unitn.it/retrieve/2885ae50-2d19-4f37-a74a-2d6bd0ee41e8/Online_PhD-Thesis_MartinaDeSanctis.pdf</t>
  </si>
  <si>
    <t>Safety-critical advanced robots: A survey</t>
  </si>
  <si>
    <t>Jérémie Guiochet a b, Mathilde Machin a b, Hélène Waeselynck</t>
  </si>
  <si>
    <t>https://doi.org/10.1016/j.robot.2017.04.004</t>
  </si>
  <si>
    <t>On Fault Detection and Diagnosis in Robotic Systems</t>
  </si>
  <si>
    <t>Khalastchi, Eliahu and Kalech, Meir</t>
  </si>
  <si>
    <t>https://doi.org/10.1145/3146389</t>
  </si>
  <si>
    <t>OpenStreetMap-Based Autonomous Navigation for the Four Wheel-Legged Robot Via 3D-Lidar and CCD Camera</t>
  </si>
  <si>
    <t>J. Li, H. Qin, J. Wang and J. Li</t>
  </si>
  <si>
    <t>https://doi.org/10.1109/TIE.2021.3070508</t>
  </si>
  <si>
    <t>Explainable AI for Robot Failures: Generating Explanations that Improve User Assistance in Fault Recovery</t>
  </si>
  <si>
    <t>Das, Devleena and Banerjee, Siddhartha and Chernova, Sonia</t>
  </si>
  <si>
    <t>https://doi.org/10.1145/3434073.3444657</t>
  </si>
  <si>
    <t>A Novel Online Data-Driven Algorithm for Detecting UAV Navigation Sensor Faults</t>
  </si>
  <si>
    <t>Sun, Rui, Qi Cheng, Guanyu Wang, and Washington Yotto Ochieng</t>
  </si>
  <si>
    <t>https://doi.org/10.3390/s17102243</t>
  </si>
  <si>
    <t>Online data-driven anomaly detection in autonomous robots</t>
  </si>
  <si>
    <t>Khalastchi, E., Kalech, M., Kaminka, G.A. et al.</t>
  </si>
  <si>
    <t>https://doi.org/10.1007/s10115-014-0754-y</t>
  </si>
  <si>
    <t>PDDL4J: a planning domain description library for java</t>
  </si>
  <si>
    <t>D. Pellier, H. Fiorino</t>
  </si>
  <si>
    <t>https://doi.org/10.1080/0952813X.2017.1409278</t>
  </si>
  <si>
    <t>Fault Detection and Diagnosis in Multi-Robot Systems: A Survey</t>
  </si>
  <si>
    <t>Khalastchi, E.; Kalech, M. Fault Detection and Diagnosis in Multi-Robot Systems: A Survey.</t>
  </si>
  <si>
    <t>https://doi.org/10.3390/s19184019</t>
  </si>
  <si>
    <t>Formal verification of complex robotic systems on resource-constrained platforms</t>
  </si>
  <si>
    <t>Foughali, Mohammed and Berthomieu, Bernard and Zilio, Silvano Dal and Hladik, Pierre-Emmanuel and Ingrand, F\'{e}lix and Mallet, Anthony</t>
  </si>
  <si>
    <t>https://doi.org/10.1145/3193992.3193996</t>
  </si>
  <si>
    <t>3D object perception and perceptual learning in the RACE project</t>
  </si>
  <si>
    <t>Miguel Oliveira a, Luís Seabra Lopes a b, Gi Hyun Lim a, S. Hamidreza Kasaei a, Ana Maria Tomé a b, Aneesh Chauhan</t>
  </si>
  <si>
    <t>https://doi.org/10.1016/j.robot.2015.09.019</t>
  </si>
  <si>
    <t>A sensor-based approach for fault detection and diagnosis for robotic systems</t>
  </si>
  <si>
    <t xml:space="preserve">Khalastchi, E., Kalech, M. </t>
  </si>
  <si>
    <t>https://doi.org/10.1007/s10514-017-9688-z</t>
  </si>
  <si>
    <t>Reinforcement learning compensated coordination control of multiple mobile manipulators for tight cooperation</t>
  </si>
  <si>
    <t>Pengjie Xu, Yuanzhe Cui, Yichao Shen, Wei Zhu, Yiheng Zhang, Bingzheng Wang, Qirong Tang</t>
  </si>
  <si>
    <t>https://doi.org/10.1016/j.engappai.2023.106281</t>
  </si>
  <si>
    <t>Bootstrapping MDE development from ROS manual code: Part 2—Model generation and leveraging models at runtime</t>
  </si>
  <si>
    <t xml:space="preserve">Nadia Hammoudeh García, Harshavardhan Deshpande, André Santos, Björn Kahl &amp; Mirko Bordignon </t>
  </si>
  <si>
    <t>https://doi.org/10.1007/s10270-021-00873-2</t>
  </si>
  <si>
    <t>Taking Recoveries to Task: Recovery-Driven Development for Recipe-Based Robot Tasks.</t>
  </si>
  <si>
    <t>Banerjee, S. et al.</t>
  </si>
  <si>
    <t>https://doi.org/10.1007/978-3-030-95459-8_36</t>
  </si>
  <si>
    <t>Formal Verification of ROS Based Systems Using a Linear Logic Theorem Prover</t>
  </si>
  <si>
    <t>S. Kortik and T. K. Shastha</t>
  </si>
  <si>
    <t>https://doi.org/10.1109/ICRA48506.2021.9561191</t>
  </si>
  <si>
    <t>Sensors fault diagnosis in autonomous mobile robots using observer — Based technique</t>
  </si>
  <si>
    <t>G. K. Fourlas, G. C. Karras and K. J. Kyriakopoulos</t>
  </si>
  <si>
    <t>https://doi.org/10.1109/ICCAR.2015.7166000</t>
  </si>
  <si>
    <t>A hybrid approach for improving unsupervised fault detection for robotic systems</t>
  </si>
  <si>
    <t>Eliahu Khalastchi, Meir Kalech, Lior Rokach,</t>
  </si>
  <si>
    <t>https://doi.org/10.1016/j.eswa.2017.03.058</t>
  </si>
  <si>
    <t>Autonomous fault detection for performance bugs in component-based robotic systems</t>
  </si>
  <si>
    <t>J. Wienke and S. Wrede,</t>
  </si>
  <si>
    <t>https://doi.org/10.1109/IROS.2016.7759507</t>
  </si>
  <si>
    <t>OpenStreetMap-Based Autonomous Navigation With LiDAR Naive-Valley-Path Obstacle Avoidance</t>
  </si>
  <si>
    <t>M. Á. Muñoz-Bañón, E. Velasco-Sánchez, F. A. Candelas and F. Torres</t>
  </si>
  <si>
    <t>https://doi.org/10.1109/TITS.2022.3208829</t>
  </si>
  <si>
    <t>Model-Based Fault Diagnosis Techniques for Mobile Robots</t>
  </si>
  <si>
    <t>Anastassia Kuestenmacher, Paul G. Plöger</t>
  </si>
  <si>
    <t>https://doi.org/10.1016/j.ifacol.2016.07.613</t>
  </si>
  <si>
    <t>How should I compute my candidates? A taxonomy and classification of diagnosis computation algorithms</t>
  </si>
  <si>
    <t>Patrick Rodler</t>
  </si>
  <si>
    <t>https://doi.org/10.48550/arXiv.2207.12583</t>
  </si>
  <si>
    <t>DynamicHS: Streamlining Reiter’s Hitting-Set Tree for Sequential Diagnosis</t>
  </si>
  <si>
    <t>https://doi.org/10.1016/j.ins.2022.08.029</t>
  </si>
  <si>
    <t>I cannot find it actually citing 12, possibly google scholar glitch</t>
  </si>
  <si>
    <t>Memory-limited model-based diagnosis</t>
  </si>
  <si>
    <t>https://doi.org/10.1016/j.artint.2022.103681</t>
  </si>
  <si>
    <t>A skill fault model for autonomous systems</t>
  </si>
  <si>
    <t>G. C. Medina, J. Guiochet, C. Lesire and A. Manecy,</t>
  </si>
  <si>
    <t>https://doi.org/10.1145/3526071.3527513</t>
  </si>
  <si>
    <t>Fault Tolerant Control for a 4-Wheel Skid Steering Mobile Robot</t>
  </si>
  <si>
    <t>George K. Fourlas1 , George C. Karras2 and Kostas J. Kyriakopoulos</t>
  </si>
  <si>
    <t>https://ceur-ws.org/Vol-1507/dx15paper23.pdf</t>
  </si>
  <si>
    <t>Inducing Rules about Distributed Robotic Systems for Fault Detection &amp; Diagnosis</t>
  </si>
  <si>
    <t>Youssef Mahmoud Youssef</t>
  </si>
  <si>
    <t>https://www.ifaamas.org/Proceedings/aamas2021/pdfs/p1845.pdf</t>
  </si>
  <si>
    <t>Drums: a Middleware-Aware Distributed Robot Monitoring System</t>
  </si>
  <si>
    <t>Monajjemi, Mani and Wawerla, Jens and Vaughan, Richard</t>
  </si>
  <si>
    <t>https://doi.org/10.1145/2843966.2843974</t>
  </si>
  <si>
    <t>Framework-level resource awareness in robotics and intelligent systems. Improving dependability by exploiting knowledge about system resources</t>
  </si>
  <si>
    <t xml:space="preserve">Wienke J </t>
  </si>
  <si>
    <t>https://doi.org/10.4119/unibi/2932136</t>
  </si>
  <si>
    <t>Fault tolerant planning: towards dependable autonomous robots</t>
  </si>
  <si>
    <t>Benjamin Lussier (1) , Jérémie Guiochet (2) , Félix Ingrand (3) , Marc-Olivier Killijian (2) , David Powell (2)</t>
  </si>
  <si>
    <t>https://hal.science/hal-01271568/</t>
  </si>
  <si>
    <t>yeah, probably.. They introduce a new planning component (an adaptation manager) which uses diversificiation of planning modules to swap out planners at runtime when errors are detected.</t>
  </si>
  <si>
    <t>Fault Diagnosis in Robot Task Execution</t>
  </si>
  <si>
    <t>Siddhartha Banerjee, Sonia Chernova</t>
  </si>
  <si>
    <t>http://www.banerjs.com/pdf/banerjs_aaai2019sss.pdf</t>
  </si>
  <si>
    <t>Autonomous skill-centric testing using deep learning</t>
  </si>
  <si>
    <t>S. Hangl, S. Stabinger and J. Piater</t>
  </si>
  <si>
    <t>doi.org/10.1109/IROS.2017.8202143</t>
  </si>
  <si>
    <t>Trusting robots : Contributions to dependable autonomous collaborative robotic systems</t>
  </si>
  <si>
    <t xml:space="preserve">Jérémie Guiochet </t>
  </si>
  <si>
    <t>https://hal.science/tel-01276555/</t>
  </si>
  <si>
    <t>Automated Generation of Diagnosis Models for ROS-based Robot Systems</t>
  </si>
  <si>
    <t>Safdar Zaman and Gerald Steinbauer</t>
  </si>
  <si>
    <t>https://citeseerx.ist.psu.edu/document?repid=rep1&amp;type=pdf&amp;doi=819e400a1771d014a4006663c6b87a27f03aa05a#page=100</t>
  </si>
  <si>
    <t>altough its a follow-up it focues more on detection models than recovery</t>
  </si>
  <si>
    <t>Supervision of Hardware, Software and Behavior of Autonomous Industrial Transport Robots</t>
  </si>
  <si>
    <t xml:space="preserve">G. Steinbauer, S. Loigge and C. Mühlbacher, </t>
  </si>
  <si>
    <t>doi.org/10.1109/QRS-C.2016.44</t>
  </si>
  <si>
    <t>(follow-up) too short, no focus on software</t>
  </si>
  <si>
    <t>Fault Tolerant Robotics using Active Diagnosis of Partially Observable Systems and Optimized Path Planning for Underwater Message Ferrying</t>
  </si>
  <si>
    <t>Devon M. Webb</t>
  </si>
  <si>
    <t>http://hdl.lib.byu.edu/1877/etd12596</t>
  </si>
  <si>
    <t>On the application of structural analysis to fault diagnosis of a mobile robot</t>
  </si>
  <si>
    <t>G. K. Fourlas</t>
  </si>
  <si>
    <t>doi.org/10.1109/ROBIO.2014.7090340</t>
  </si>
  <si>
    <t>no recovery</t>
  </si>
  <si>
    <t>Safety verification for ROS software</t>
  </si>
  <si>
    <t>Santos, André Filipe Faria</t>
  </si>
  <si>
    <t>https://hdl.handle.net/1822/75537</t>
  </si>
  <si>
    <t>Design and Analysis of Jittering Mitigator for Robot Arm-Tip</t>
  </si>
  <si>
    <t>Shuyong Duan, Chunlu Li, Pengfei Xu, and Guirong Liu</t>
  </si>
  <si>
    <t>https://doi.org/10.1142/S0219876221500559</t>
  </si>
  <si>
    <t>Facilitating Reliable Autonomy with Human-Robot Interaction</t>
  </si>
  <si>
    <t>S Banerjee</t>
  </si>
  <si>
    <t>http://hdl.handle.net/1853/64758</t>
  </si>
  <si>
    <t>ROS-based diagnostic board for detecting and repairing hardware faults in autonomous mobile robots</t>
  </si>
  <si>
    <t>S. Zaman and P. Lepej,</t>
  </si>
  <si>
    <t>doi.org/10.1109/iCREATE.2014.6828347</t>
  </si>
  <si>
    <t>follow-up to primary 12 but there is 0 focus on software architecture, purely hardware.</t>
  </si>
  <si>
    <t>Generic ROS-Based Multirotor Architecture for Controller Testing in Indoor Environments</t>
  </si>
  <si>
    <t>A. W. Abouelainein, A. Ahmed, O. M. Shehata and E. I. Morgan,</t>
  </si>
  <si>
    <t>doi.org/10.1109/ICCMA51325.2020.9301494</t>
  </si>
  <si>
    <t>INTEGRACIÓN DE DISPOSITIVOS EN UN ROBOT QUIRÚRGICO TELEOPERADO MEDIANTE ROS</t>
  </si>
  <si>
    <t>E. Bauzano1 , A. Fernández-Iribar2 , M.C. López-Casado1 , J. Klein2 , A. Rentería2 , V.F. Muñoz-Martínez1</t>
  </si>
  <si>
    <t>https://www.ehu.eus/documents/3444171/4484745/115.pdf</t>
  </si>
  <si>
    <t>A Non-intrusive Fault Diagnosis System for Robotic Platforms</t>
  </si>
  <si>
    <t>Youssef Mahmoud Youssef1 and Paul G. Plöger</t>
  </si>
  <si>
    <t>https://ceur-ws.org/Vol-2289/paper20.pdf</t>
  </si>
  <si>
    <t>Remote Fault Diagnosis of Robots Using a Robotic Black Box</t>
  </si>
  <si>
    <t>Ahmad Drak1 and Youssef Youssef1 and Paul G. Plöger1 and Anastassia Kuestenmacher1</t>
  </si>
  <si>
    <t>https://www.researchgate.net/publication/317065837_Remote_Fault_Diagnosis_of_Robots_Using_a_Robotic_Black_Box</t>
  </si>
  <si>
    <t>Making Better Robots – Beiträge Österreichs zur Europäischen Robotics Research Roadmap</t>
  </si>
  <si>
    <t>Hofbaur, M., Müller, A., Piater, J. et al.</t>
  </si>
  <si>
    <t>https://doi.org/10.1007/s00502-015-0304-7</t>
  </si>
  <si>
    <t>Supervision of an Humanoid Robot</t>
  </si>
  <si>
    <t>Angarano, Giulia</t>
  </si>
  <si>
    <t>http://hdl.handle.net/2117/120457</t>
  </si>
  <si>
    <t>RoboCup Logistics League TDP Graz Robust and Intelligent Production System GRIPS</t>
  </si>
  <si>
    <t>Sarah Haas, Dino Keskic, Clemens Muhlbacher, ¨ Gerald Steinbauer, Thomas Ulz, Marco Wallner</t>
  </si>
  <si>
    <t>https://www.ais.uni-bonn.de/robocup.de/2016/TDPs/Logistics/RoboCup_2016_Logistics_TDP_GRIPS.pdf</t>
  </si>
  <si>
    <t>Model Based Fault Detection and Diagnosis for Robots</t>
  </si>
  <si>
    <t>E Khalastchi</t>
  </si>
  <si>
    <t>no link</t>
  </si>
  <si>
    <t>On Problematic Robotic Thresholds</t>
  </si>
  <si>
    <t xml:space="preserve">Taylor, Adam K. </t>
  </si>
  <si>
    <t>https://digitalcommons.unl.edu/computerscidiss/96/</t>
  </si>
  <si>
    <t>Trusting robots Contributions to dependable autonomous collaborative robotic systems</t>
  </si>
  <si>
    <t>Jérémie GUIOCHET</t>
  </si>
  <si>
    <t>https://www.researchgate.net/profile/Jeremie-Guiochet/publication/247640080_State_of_the_Art_on_Dependability_of_Autonomous_Systems/links/5774cdb608ae1b18a7de4a71/State-of-the-Art-on-Dependability-of-Autonomous-Systems.pdf</t>
  </si>
  <si>
    <t>Eliahu Khalastchi · Meir Kalech · Gal A. Kaminka · Raz Lin</t>
  </si>
  <si>
    <t>Contributions à la planification automatique pour la conduite de systèmes autonomes</t>
  </si>
  <si>
    <t>Damien Pellier</t>
  </si>
  <si>
    <t>https://hal.science/tel-01778171/document</t>
  </si>
  <si>
    <t>ЭЛЕМЕНТНАЯ БАЗА МАСШТАБИРУЕМЫХ ОТКАЗОУСТОЙЧИВЫХ СИСТЕМ УПРАВЛЕНИЯ РОБОТОВ</t>
  </si>
  <si>
    <t>Romanov A.M.</t>
  </si>
  <si>
    <t>https://elibrary.ru/efsfdl</t>
  </si>
  <si>
    <t>Current and future challenges in knowledge representation and reasoning</t>
  </si>
  <si>
    <t>James P. Delgrande, Birte Glimm, Thomas Meyer, Miroslaw Truszczynski, Frank Wolter</t>
  </si>
  <si>
    <t>https://doi.org/10.48550/arXiv.2308.04161</t>
  </si>
  <si>
    <t>Multi-Dimensional and Message-Guided Fuzzing for Robotic Programs in Robot Operating System</t>
  </si>
  <si>
    <t>Jia-Ju Bai, Hao-Xuan Song, Shi-Min Hu</t>
  </si>
  <si>
    <t>https://doi.org/10.1145/3620665.3640425</t>
  </si>
  <si>
    <t>An Empirical Study on Fault Diagnosis in Robotic Systems</t>
  </si>
  <si>
    <t>Xuezhi Song; Yi Li; Zhen Dong; Shuning Liu; Junming Cao; Xin Peng</t>
  </si>
  <si>
    <t>https://doi.org/10.1109/ICSME58846.2023.00030</t>
  </si>
  <si>
    <t>A Fail-Operational Control Architecture for Autonomous Mobile Robots Based on State Machine Replication</t>
  </si>
  <si>
    <t>Manuel Schrick; Jochen Kreutzfeldt</t>
  </si>
  <si>
    <t>https://doi.org/10.1109/IRC59093.2023.00042</t>
  </si>
  <si>
    <t>seen already in selection</t>
  </si>
  <si>
    <t>Onboard Mission-and Contingency Management based on Behavior Trees for Unmanned Aerial Vehicles</t>
  </si>
  <si>
    <t>Albi, Matteo</t>
  </si>
  <si>
    <t>https://urn.fi/URN:NBN:fi:aalto-202310156406</t>
  </si>
  <si>
    <t>Motion Planning for Urban Autonomous Bus Considering Localization Uncertainty Using Offset-free MPC</t>
  </si>
  <si>
    <t>Ara Jo; Woojin Kwon; Kyongsu Yi</t>
  </si>
  <si>
    <t>https://doi.org/10.1109/ACCESS.2024.3355205</t>
  </si>
  <si>
    <t>High-Integrity Urban Localization: Bringing Safety in Aviation to Autonomous Driving</t>
  </si>
  <si>
    <t>Gupta, Shubh</t>
  </si>
  <si>
    <t>https://purl.stanford.edu/hs838yq9876</t>
  </si>
  <si>
    <t>Engineering Trustworthy Self-Adaptive Software with Dynamic Assurance Cases</t>
  </si>
  <si>
    <t>R. Calinescu, D. Weyns, S. Gerasimou, M. U. Iftikhar, I. Habli and T. Kelly</t>
  </si>
  <si>
    <t>https://doi.org/10.1109/TSE.2017.2738640</t>
  </si>
  <si>
    <t>it seems they use UNDERSEA which is a robot, but its not really about that at all, just one of two examples.</t>
  </si>
  <si>
    <t>A Generated Property Specification Language for Resilient Multirobot Missions</t>
  </si>
  <si>
    <t>Swaib Dragule, Bart Meyers &amp; Patrizio Pelliccione</t>
  </si>
  <si>
    <t>https://doi.org/10.1007/978-3-319-65948-0_4</t>
  </si>
  <si>
    <t>I don't think we can say it is _self_ adaptive due to the declarative nature implying human-involvement at runtime</t>
  </si>
  <si>
    <t>Connecting conceptual models using relational reference attribute grammars</t>
  </si>
  <si>
    <t>René Schöne, Johannes Mey, Sebastian Ebert, and Uwe Aßmann</t>
  </si>
  <si>
    <t>https://doi.org/10.1145/3417990.3421437</t>
  </si>
  <si>
    <t>Variability management in a robotics software ecosystem based on dependency variability graphs for modeling, composing and resolving multi-dimensional variability spaces</t>
  </si>
  <si>
    <t>Blender, Timo</t>
  </si>
  <si>
    <t>http://dx.doi.org/10.18725/OPARU-48624</t>
  </si>
  <si>
    <t>A Model-Based Approach to Engineer Self-Adaptive Systems with Guarantees</t>
  </si>
  <si>
    <t>Iftikhar, Muhammad Usman</t>
  </si>
  <si>
    <t>https://urn.kb.se/resolve?urn=urn%3Anbn%3Ase%3Alnu%3Adiva-69136</t>
  </si>
  <si>
    <t>Programming Robots for Activities of Everyday Life</t>
  </si>
  <si>
    <t xml:space="preserve">Swaib, Dragule.  </t>
  </si>
  <si>
    <t>https://www.proquest.com/openview/7c8ac699698de70e3982af853cbdb929/1?casa_token=la3PYPhwWZMAAAAA:xDD6HIBI7l2Vs3sp-NcBrVhAdQYgvkzF3u6dd9-C55Piyf81WbnacuOtskAPLJLSnzGraOhswvA&amp;cbl=2026366&amp;diss=y&amp;pq-origsite=gscholar&amp;parentSessionId=iMFkH8Qd0UbETyjZilIBtRmVRfJxTB97xyrH%2FiIQf1E%3D</t>
  </si>
  <si>
    <t>QoS-aware resource and energy management for autonomous mobile</t>
  </si>
  <si>
    <t xml:space="preserve">Dinh Khanh Ho </t>
  </si>
  <si>
    <t>https://theses.hal.science/tel-03135081/</t>
  </si>
  <si>
    <t>Reactive Programming using Procedural Parameters
for End-User Development and Operations of Robot
Behavior Control</t>
  </si>
  <si>
    <t>Erich Floris Marc Arden</t>
  </si>
  <si>
    <t>https://tsukuba.repo.nii.ac.jp/record/46993/files/DA08751.pdf</t>
  </si>
  <si>
    <t>Toffa-Das: Design-Time Trade-Off Analysis for Dynamically Adaptable Software</t>
  </si>
  <si>
    <t>Carvalho, Michelle Larissa Luciano and Santos, Ismayle de Sousa and Masiero, Paulo Cesar and Januario, Tiago and de Almeida, Eduardo Santana and de Alcântara dos Santos Neto, Pedro and de Castro Andrade, Rossana Maria and Lopez-Herrejon, Roberto Erick,</t>
  </si>
  <si>
    <t>https://dx.doi.org/10.2139/ssrn.4098743</t>
  </si>
  <si>
    <t>pre-print not peer reviewed</t>
  </si>
  <si>
    <t>ToffA-DAS: an approach to conduct trade-off analysis for dynamically adaptable software</t>
  </si>
  <si>
    <t>Carvalho, Michelle Larissa Luciano</t>
  </si>
  <si>
    <t>https://repositorio.ufba.br/handle/ri/36787</t>
  </si>
  <si>
    <t>Shape sensing of deformable objects for robot manipulation</t>
  </si>
  <si>
    <t>Jose Manuel Sanchez Loza</t>
  </si>
  <si>
    <t>https://theses.hal.science/tel-02294752/</t>
  </si>
  <si>
    <t xml:space="preserve"> Reactive programming using procedural parameters for end-user development and operations of robot behavior control</t>
  </si>
  <si>
    <t>F Erich, M Arden</t>
  </si>
  <si>
    <t>Gestion des ressources et de l'énergie orientée qualité de service pour les systèmes robotiques mobiles autonomes</t>
  </si>
  <si>
    <t>DK Ho</t>
  </si>
  <si>
    <t>https://www.theses.fr/2020COAZ4000</t>
  </si>
  <si>
    <t>Robotics cyber security: vulnerabilities, attacks, countermeasures, and recommendations</t>
  </si>
  <si>
    <t>Yaacoub, JP.A., Noura, H.N., Salman, O. et al.</t>
  </si>
  <si>
    <t>https://doi.org/10.1007/s10207-021-00545-8</t>
  </si>
  <si>
    <t>An overview: on path planning optimization criteria and mobile robot navigation</t>
  </si>
  <si>
    <t>Anis Naema Atiyah1, Noraziah Adzhar1 and Nor Izzati Jaini1</t>
  </si>
  <si>
    <t>https://doi.org/10.1088/1742-6596/1988/1/012036</t>
  </si>
  <si>
    <t>Cybersecurity of Robotic Systems: Leading Challenges and Robotic System Design Methodology</t>
  </si>
  <si>
    <t>Dutta, V.; Zielińska, T</t>
  </si>
  <si>
    <t>https://doi.org/10.3390/electronics10222850</t>
  </si>
  <si>
    <t>ROZZ: Property-based Fuzzing for Robotic Programs in ROS</t>
  </si>
  <si>
    <t>Kai-Tao Xie; Jia-Ju Bai; Yong-Hao Zou; Yu-Ping Wang</t>
  </si>
  <si>
    <t>https://doi.org/10.1109/ICRA46639.2022.9811701</t>
  </si>
  <si>
    <t>software testing</t>
  </si>
  <si>
    <t>Cyber security of robots: A comprehensive survey</t>
  </si>
  <si>
    <t>Alessio Botta, Sayna Rotbei, Stefania Zinno, Giorgio Ventre</t>
  </si>
  <si>
    <t>https://doi.org/10.1016/j.iswa.2023.200237</t>
  </si>
  <si>
    <t>too new</t>
  </si>
  <si>
    <t>EcoDialTest: Adaptive Mutation Schedule for Automated Dialogue Systems Testing</t>
  </si>
  <si>
    <t>Xiangchen Shen; Haibo Chen; Jinfu Chen; Jiawei Zhang; Shuhui Wang</t>
  </si>
  <si>
    <t>https://doi.org/10.1109/SANER56733.2023.00113</t>
  </si>
  <si>
    <t>bandits</t>
  </si>
  <si>
    <t>Survey of air battery thermal management on the autonomous mobile robots</t>
  </si>
  <si>
    <t>Sevgi AYDIN, Kadri Süleyman YİĞİT, İsmail Hakkı SAVCI</t>
  </si>
  <si>
    <t>https://doi.org/10.2298/TSCI220805022A</t>
  </si>
  <si>
    <t>Quantitative impact analysis of application-level attacks on a robotic platform</t>
  </si>
  <si>
    <t>Khalil M. Ahmad Yousef, Anas AlMajali, Bassam J. Mohd and Salah Abu Ghalyon</t>
  </si>
  <si>
    <t>https://doi.org/10.1504/IJESDF.2022.123846</t>
  </si>
  <si>
    <t>paywalled</t>
  </si>
  <si>
    <t>Cyber Security of Robots: A Focused Survey</t>
  </si>
  <si>
    <t>Botta, Alessio and Zinno, Stefania and Rotbei, Sayna and Ventre, Giorgio, Cyber Security of Robots: A Focused Survey</t>
  </si>
  <si>
    <t>http://dx.doi.org/10.2139/ssrn.4201541</t>
  </si>
  <si>
    <t>Vibekananda Dutta 1,* and Teresa Zieli ´nsk</t>
  </si>
  <si>
    <t>Multi-objective genetic algorithm for mobile robot path planning in industrial automation</t>
  </si>
  <si>
    <t xml:space="preserve"> Suresh, K.S.a; * | Ravichandran, K.S.a | Venugopal, S</t>
  </si>
  <si>
    <t>https://doi.org/10.3233/JIFS-220886</t>
  </si>
  <si>
    <t>The internet of modular robotic things: Issues, limitations, challenges, &amp; solutions</t>
  </si>
  <si>
    <t>Jean-Paul A. Yaacoub, Hassan N. Noura, Benoit Piranda</t>
  </si>
  <si>
    <t>https://doi.org/10.1016/j.iot.2023.100886</t>
  </si>
  <si>
    <t>MBSNN: A multi-branch scalable neural network for resource-constrained IoT devices</t>
  </si>
  <si>
    <t>Haizhou Wang a c, Liying Li b, Yangguang Cui a c, Nuo Wang a, Fuke Shen a, Tongquan Wei</t>
  </si>
  <si>
    <t>https://doi.org/10.1016/j.sysarc.2023.102931</t>
  </si>
  <si>
    <t>Deep Learning of Sensor Data in Cybersecurity of Robotic Systems: Overview and Case Study Results</t>
  </si>
  <si>
    <t xml:space="preserve"> Wojciech Szynkiewicz,Ewa Niewiadomska-Szynkiewicz and Kamila Lis</t>
  </si>
  <si>
    <t>https://doi.org/10.3390/electronics12194146</t>
  </si>
  <si>
    <t>no mitigation</t>
  </si>
  <si>
    <t>Development and Control of Four-Wheel Independent Driving and Modular Steering Electric Vehicles for Improved Maneuverability Limits</t>
  </si>
  <si>
    <t>Haoguang Yang, Chen Liu, Jiongming Shi, Gangtie Zheng</t>
  </si>
  <si>
    <t>https://doi.org/10.4271/2019-01-0459</t>
  </si>
  <si>
    <t>Sensing and Sampling of Trace Contaminations by a Dexterous Hexrotor UAV at Nuclear Facilities-18600</t>
  </si>
  <si>
    <t>P Abbaraju, R Voyles</t>
  </si>
  <si>
    <t>https://web.ics.purdue.edu/~rvoyles/Pubs/Praveen.DexterousHexrotor.WM2018.pdf</t>
  </si>
  <si>
    <t>ASAP-CORPS: A Semi-Autonomous Platform for COntact-Rich Precision Surgery</t>
  </si>
  <si>
    <t>Mythra V Balakuntala, Glebys T Gonzalez, Juan P Wachs, Richard M Voyles</t>
  </si>
  <si>
    <t>https://doi.org/10.1093/milmed/usad175</t>
  </si>
  <si>
    <t>A Dynamic Threshold Segmentation Algorithm Based on Bidirectional Polynomial Fitting</t>
  </si>
  <si>
    <t>Yu Chengbo, Kong Qingda, Qian Zewen, Yu Yujie</t>
  </si>
  <si>
    <t>https://www.cqvip.com/qk/90393x/201603/668063580.html</t>
  </si>
  <si>
    <t>I5 - After 2011</t>
  </si>
  <si>
    <t>E5 - Year</t>
  </si>
  <si>
    <t>Software architectures for robotic systems: a systematic mapping study</t>
  </si>
  <si>
    <t>Ahmad, M.A., A., Babar</t>
  </si>
  <si>
    <t>https://doi.org/10.1016/j.jss.2016.08.039</t>
  </si>
  <si>
    <t>Architecture-based runtime software evolution</t>
  </si>
  <si>
    <t>Oreizy, R.N., P., Medvidovic, N., Taylor</t>
  </si>
  <si>
    <t>https://doi.org/10.1109/icse.1998.671114</t>
  </si>
  <si>
    <t>Rainbow: architecture-based self-adaptation with reusable infrastructure</t>
  </si>
  <si>
    <t>Garlan, P., D., Cheng, S., Huang, A., Schmerl, B., Steenkiste</t>
  </si>
  <si>
    <t>https://doi.org/10.1109/MC.2004.175</t>
  </si>
  <si>
    <t>Implementation and evaluation of a microthread architecture</t>
  </si>
  <si>
    <t>Bousias, M., K., Guang, L., Jesshope, C., Lankamp</t>
  </si>
  <si>
    <t>https://doi.org/10.1016/j.sysarc.2008.07.001</t>
  </si>
  <si>
    <t>Resource allocation robustness in multi-core embedded systems with inaccurate information</t>
  </si>
  <si>
    <t>Li, T., J., Ming, Z., Qiu, M., Quan, G., Qin, X., Chen</t>
  </si>
  <si>
    <t>https://doi.org/10.1016/j.sysarc.2011.03.005</t>
  </si>
  <si>
    <t>Dynamic hinting: Collaborative real-time resource management for reactive embedded systems</t>
  </si>
  <si>
    <t>Banauch, M.</t>
  </si>
  <si>
    <t>https://doi.org/10.1016/j.sysarc.2011.07.001</t>
  </si>
  <si>
    <t>Open-architecture system based on a reconfigurable hardware–software multi-agent platform for CNC machines</t>
  </si>
  <si>
    <t>Morales-Velazquez, E., L., de Jesus, R., Troncoso, Romero, Osornio-Rios, R.A., Herrera-Ruiz, G., Cabal-Yepez</t>
  </si>
  <si>
    <t>https://doi.org/10.1016/j.sysarc.2010.04.009</t>
  </si>
  <si>
    <t>Parallel Robots</t>
  </si>
  <si>
    <t>Merlet, J.-P.</t>
  </si>
  <si>
    <t>https://doi.org/10.1007/978-94-010-9587-7</t>
  </si>
  <si>
    <t>Parallel kinematic structures of the sfb 562</t>
  </si>
  <si>
    <t>Schⁿtz, J., D., Budde, C., Raatz, A., Hesselbach</t>
  </si>
  <si>
    <t>https://doi.org/10.1007/978-3-642-16785-0_7</t>
  </si>
  <si>
    <t>The vision of autonomic computing</t>
  </si>
  <si>
    <t>Kephart, D.M., J.O., Chess</t>
  </si>
  <si>
    <t>https://doi.org/10.1109/MC.2003.1160055</t>
  </si>
  <si>
    <t>Autonomic Computing: Concepts, Infrastructure, and Applications</t>
  </si>
  <si>
    <t>Wolf, T., T.D., Holvoet</t>
  </si>
  <si>
    <t>https://doi.org/10.1201/9781420009354</t>
  </si>
  <si>
    <t>Organic computing - addressing complexity by controlled selforganization</t>
  </si>
  <si>
    <t>Branke, H., J., Mnif, M., Mnller-Schloer, C., Prothmann, H., Richter, U., Rochner, F., Schmeck</t>
  </si>
  <si>
    <t>https://doi.org/10.1109/isola.2006.19</t>
  </si>
  <si>
    <t>Organic computing: on the feasibility of controlled emergence</t>
  </si>
  <si>
    <t>M\"{u}ller-Schloer, C.</t>
  </si>
  <si>
    <t>https://doi.org/10.1145/1016720.1016724</t>
  </si>
  <si>
    <t>Compliance and force control for computer controlled manipulators</t>
  </si>
  <si>
    <t>Mason, M.T.</t>
  </si>
  <si>
    <t>https://doi.org/10.1109/tsmc.1981.4308708</t>
  </si>
  <si>
    <t>Compliant robot motion I: A formalism for specifying compliant motion task</t>
  </si>
  <si>
    <t>de Schutter, H., J., Brussel</t>
  </si>
  <si>
    <t>https://doi.org/10.1177/027836498800700401</t>
  </si>
  <si>
    <t>A model-based manipulation system with skill-based execution</t>
  </si>
  <si>
    <t>Hasegawa, K., T., Suehiro, T., Takase</t>
  </si>
  <si>
    <t>https://doi.org/10.1109/70.163779</t>
  </si>
  <si>
    <t>Error-tolerant execution of complex robot tasks based on skill primitives</t>
  </si>
  <si>
    <t>Thomas, F.M., U., Finkemeyer, B., Kr÷ger, T., Wahl</t>
  </si>
  <si>
    <t>https://doi.org/10.1109/robot.2003.1242062</t>
  </si>
  <si>
    <t>A task frame formalism for practical implementations</t>
  </si>
  <si>
    <t>Krger, F.M., T., Finkemeyer, B., Wahl</t>
  </si>
  <si>
    <t>https://doi.org/10.1109/ROBOT.2004.1302546</t>
  </si>
  <si>
    <t>Rca562: control architecture for parallel kinematic robots</t>
  </si>
  <si>
    <t>Dietrich, J., F., Maa, J., Raatz, A., Hesselbach</t>
  </si>
  <si>
    <t>https://doi.org/10.1007/978-3-642-16785-0_18</t>
  </si>
  <si>
    <t>Towards a new concept of robot programming in high speed assembly applications</t>
  </si>
  <si>
    <t>Thomas, F.M., U., Maa, J., Hesselbach, J., Wahl</t>
  </si>
  <si>
    <t>https://doi.org/10.1109/iros.2005.1545582</t>
  </si>
  <si>
    <t>Manipulation primitives: a universal interface between sensor-based motion control and robot programming</t>
  </si>
  <si>
    <t>Kr÷ger, F.M., T., Finkemeyer, B., Wahl</t>
  </si>
  <si>
    <t>https://doi.org/10.1007/978-3-642-16785-0_17</t>
  </si>
  <si>
    <t>UML for real: design of embedded real-time systems, Architectural patterns for real-time systems</t>
  </si>
  <si>
    <t>Selic, B.</t>
  </si>
  <si>
    <t>https://doi.org/10.1007/0-306-48738-1_8</t>
  </si>
  <si>
    <t>Flexible signal-oriented hardware abstraction for rapid prototyping of robotic systems</t>
  </si>
  <si>
    <t>Jorg, G., S., Nickl, M., Hirzinger</t>
  </si>
  <si>
    <t>https://doi.org/10.1109/iros.2006.281759</t>
  </si>
  <si>
    <t>Miro-middleware for mobile robot applications</t>
  </si>
  <si>
    <t>Utz, G., H., Sablatnog, S., Enderle, S., Kraetzschmar</t>
  </si>
  <si>
    <t>https://doi.org/10.1109/TRA.2002.802930</t>
  </si>
  <si>
    <t>Configuration switching for workspace enlargement</t>
  </si>
  <si>
    <t>Budde, J., C., Helm, M., Last, P., Raatz, A., Hesselbach</t>
  </si>
  <si>
    <t>https://doi.org/10.1007/978-3-642-16785-0_11</t>
  </si>
  <si>
    <t>Universal communication architecture for high-dynamic robot systems using qnx</t>
  </si>
  <si>
    <t>Kohn, U., N., Varchmin, J.-U., Steiner, J., Goltz</t>
  </si>
  <si>
    <t>https://doi.org/10.1109/icarcv.2004.1468823</t>
  </si>
  <si>
    <t>A communication architecture for distributed real-time robot control</t>
  </si>
  <si>
    <t>Dadji, J.U., Y., Michalik, H., Kohn, N., Steiner, J., Beckmann, G., M÷glich, T., Varchmin</t>
  </si>
  <si>
    <t>https://doi.org/10.1007/978-3-642-16785-0_13</t>
  </si>
  <si>
    <t>Runtime analysis and adaptation of a hard realtime robotic control system</t>
  </si>
  <si>
    <t>Steiner, U., J., Hagner, M., Goltz</t>
  </si>
  <si>
    <t>https://doi.org/10.4304/jcp.2.10.18-27</t>
  </si>
  <si>
    <t>System level performance analysis - the symta/s approach</t>
  </si>
  <si>
    <t>Henia, R., R., Hamann, A., Jersak, M., Racu, R., Richter, K., Ernst</t>
  </si>
  <si>
    <t>https://doi.org/10.1049/ip-cdt:20045088</t>
  </si>
  <si>
    <t>An efficient heuristic procedure for partitioning graphs, Bell Syst</t>
  </si>
  <si>
    <t>Kernighan, S., B., Lin</t>
  </si>
  <si>
    <t>https://doi.org/10.1002/j.1538-7305.1970.tb01770.x</t>
  </si>
  <si>
    <t>Calibration of parallel kinematic structures - overview, classification and comparison</t>
  </si>
  <si>
    <t>Last, J., P., Raatz, A., Hesselbach</t>
  </si>
  <si>
    <t>https://doi.org/10.1007/978-3-642-16785-0_6</t>
  </si>
  <si>
    <t>Detection and avoidance of singularities in parallel kinematic machines</t>
  </si>
  <si>
    <t>Dietrich, J., F., Maa, J., Bier, C., Pietsch, I., Raatz, A., Hesselbach</t>
  </si>
  <si>
    <t>https://doi.org/10.1007/978-3-642-16785-0_5</t>
  </si>
  <si>
    <t>Robust gain scheduling for smart-structures in parallel robots</t>
  </si>
  <si>
    <t>Algermissen, M., S., Sinapius</t>
  </si>
  <si>
    <t>https://doi.org/10.1007/978-3-642-16785-0_10</t>
  </si>
  <si>
    <t>A Modeling Framework for Software Architecture Specification and Validation</t>
  </si>
  <si>
    <t>Gobillot, D., N., Lesire, C., Doose</t>
  </si>
  <si>
    <t>https://doi.org/10.1007/978-3-319-11900-7_26</t>
  </si>
  <si>
    <t>Robotics software frameworks for multiagent robotic systems development</t>
  </si>
  <si>
    <t>Iigo-Blasco, , P., Rio, F. D., Romero-Ternero, M. C., CagigasMuiz, D., Vicente-Diaz, S.,</t>
  </si>
  <si>
    <t>https://doi.org/10.1016/j.robot.2012.02.004</t>
  </si>
  <si>
    <t>Realtime Hybrid Task-Based Control for Robots and Machine Tools</t>
  </si>
  <si>
    <t>Soetens, H., P., Bruyninckx</t>
  </si>
  <si>
    <t>https://doi.org/10.1109/ROBOT.2005.1570129</t>
  </si>
  <si>
    <t>Measurement-based real-time analysis of robotic software architectures</t>
  </si>
  <si>
    <t>Gobillot, L., N., Guet, F., Doose, D., Grand, C., Lesire, C., Santinelli</t>
  </si>
  <si>
    <t>https://doi.org/10.1109/IROS.2016.7759509</t>
  </si>
  <si>
    <t>final selection Ivano</t>
  </si>
  <si>
    <t>Design Abstraction and Processes in Robotics: From Code-Driven to Model-Driven Engineering</t>
  </si>
  <si>
    <t>Schlegel, A., C., Steck, A., Brugali, D., Knoll</t>
  </si>
  <si>
    <t>https://doi.org/10.1007/978-3-642-17319-6_31</t>
  </si>
  <si>
    <t>Periodic statemachine aware real-time analysis</t>
  </si>
  <si>
    <t>Gobillot, L., N., Doose, D., Lesire, C., Santinelli</t>
  </si>
  <si>
    <t>https://doi.org/10.1109/etfa.2015.7301403</t>
  </si>
  <si>
    <t>Priority inheritance protocols: An approach to real-time synchronization</t>
  </si>
  <si>
    <t>Sha, R., L., Rajkumar</t>
  </si>
  <si>
    <t>https://doi.org/10.1109/12.57058</t>
  </si>
  <si>
    <t>Safety–Critical Computer Systems</t>
  </si>
  <si>
    <t>Storey, Computer, N., Safety-Critical</t>
  </si>
  <si>
    <t>https://dl.acm.org/doi/abs/10.5555/524721</t>
  </si>
  <si>
    <t>Towards a methodology for engineering self-organising emergent systems</t>
  </si>
  <si>
    <t>https://www.researchgate.net/publication/221436256_Towards_a_Methodology_for_Engineering_Self-Organising_Emergent_Systems</t>
  </si>
  <si>
    <t>A design methodology for self-optimizing systems, in: Contributions to the sixth Braunschweig Conference of Automation, Assistance and Embedded Real Time Platforms for Transportation - Air-planes, Vehicles</t>
  </si>
  <si>
    <t>Gausemeier, M., J., Frank, U., Giese, H., Klein, F., Schmidt, A., Steffen, D., Tichy</t>
  </si>
  <si>
    <t>https://www.hpi.uni-potsdam.de/giese/misc/publications/AAET05.pdf</t>
  </si>
  <si>
    <t>Towards a model-driven software engineering methodology for organic computing systems</t>
  </si>
  <si>
    <t>Kasinger, B., H., Bauer</t>
  </si>
  <si>
    <t>https://www.researchgate.net/profile/Bernhard-Bauer-4/publication/220939878_Towards_a_Model-Driven_Software_Engineering_Methodology_for_Organic_Computing_Systems/links/0912f51470ee87966f000000/Towards-a-Model-Driven-Software-Engineering-Methodology-for-Organic-Computing-Systems.pdf</t>
  </si>
  <si>
    <t>Potenziale und Risiken der Selbstoptimierung fnr die VerlSsslichkeit mechatronischer Systeme, in: 5</t>
  </si>
  <si>
    <t>Frank, H., U., Giese, H., Mnller, T., Oberthnr, S., Romaus, C., Tichy, M., Vcking</t>
  </si>
  <si>
    <t>https://ei.uni-paderborn.de/fileadmin/elektrotechnik/fg/lea/Forschung/Publikationen/2007/07HNI-Frank-Giese-Romaus-Mueller-Oberthuer.pdf</t>
  </si>
  <si>
    <t>A robot control architecture based on an object server, in: IASTED International Conference Robotics and Manufacturing (RM)</t>
  </si>
  <si>
    <t>Finkemeyer, F., B., Borchard, M., Wahl</t>
  </si>
  <si>
    <t>https://www.rob.cs.tu-bs.de/node/1179</t>
  </si>
  <si>
    <t>Compliant motion programming: the task frame formalism revisited</t>
  </si>
  <si>
    <t>Krger, F.M., T., Finkemeyer, B., Thomas, U., Wahl</t>
  </si>
  <si>
    <t>couldn't find it</t>
  </si>
  <si>
    <t>A versatile robot control architecture for sensor integrated assembly</t>
  </si>
  <si>
    <t>Maa, W., J., Reisinger, T., Hesselbach, J., Schumacher</t>
  </si>
  <si>
    <t>https://www.tib.eu/de/suchen/id/BLCP:CN060074433/A-versatile-modular-robot-control-architecture?cHash=79f6958fae6a1b0fb045b04634ea8ce5</t>
  </si>
  <si>
    <t>Ein beitrag zur steuerungstechnik fnr parallelkinematische roboter in der montage</t>
  </si>
  <si>
    <t>Maa, J.H.</t>
  </si>
  <si>
    <t>https://www.eurobuch.com/buch/isbn/9783802783050.html</t>
  </si>
  <si>
    <t>Robotersteuerungsarchitektur auf der Basis von Aktionsprimitiven</t>
  </si>
  <si>
    <t>Finkemeyer, B.</t>
  </si>
  <si>
    <t>https://www.shaker.de/de/content/catalogue/index.asp?lang=de&amp;ID=8&amp;ISBN=978-3-8322-2893-4&amp;search=yes</t>
  </si>
  <si>
    <t>ORCA: components for robotics</t>
  </si>
  <si>
    <t>Brooks, A., A., Kaupp, T., Makarenko</t>
  </si>
  <si>
    <t>https://orca-robotics.sourceforge.net/</t>
  </si>
  <si>
    <t>not a paper</t>
  </si>
  <si>
    <t>The Player Project</t>
  </si>
  <si>
    <t>The, Player</t>
  </si>
  <si>
    <t>playerstage.sourceforge.net</t>
  </si>
  <si>
    <t>Available at: &lt;http:</t>
  </si>
  <si>
    <t>NASA, Jan., Jpl, Internet-Ressource</t>
  </si>
  <si>
    <t>claraty.jpl.nasa.gov</t>
  </si>
  <si>
    <t>Mobile and autonomous robotics integration environment</t>
  </si>
  <si>
    <t>C⌠tΘ, C.</t>
  </si>
  <si>
    <t>marie.sourceforge.net</t>
  </si>
  <si>
    <t>Middleware for robotic and process control applications, in: Workshop on Measures and Procedures for the Evaluation of Robot Architectures and Middleware</t>
  </si>
  <si>
    <t>Finkemeyer, MiRPA, B., Krger, T., Kubus, D., Olschewski, M., Wahl, F.M.</t>
  </si>
  <si>
    <t>https://www.researchgate.net/profile/Daniel-Kubus/publication/228371987_MiRPA_Middleware_for_robotic_and_process_control_applications/links/00b49529ecdb633b4f000000/MiRPA-Middleware-for-robotic-and-process-control-applications.pdf</t>
  </si>
  <si>
    <t>OROCOS - open source robot control software, Available at: &lt;http:</t>
  </si>
  <si>
    <t>Bruyninckx, H. E.</t>
  </si>
  <si>
    <t>orocos.org</t>
  </si>
  <si>
    <t>The OSACA Project Consortium, Open system architecture for controls within automation systems, Available at: &lt;http:</t>
  </si>
  <si>
    <t>www.osaca.org</t>
  </si>
  <si>
    <t>Modular controller architecture version 2, Internet-Ressource, abteilung Interaktive Diagnose- und Servicesysteme</t>
  </si>
  <si>
    <t>Karlsruhe, FZI</t>
  </si>
  <si>
    <t>human-competitive.org</t>
  </si>
  <si>
    <t>Open modular robot control architecture for assembly using the task frame formalism</t>
  </si>
  <si>
    <t>Maa, J., J., Kohn, N., Hesselbach</t>
  </si>
  <si>
    <t>https://doi.org/10.5772/5763</t>
  </si>
  <si>
    <t>Adaptive components for parallel robots</t>
  </si>
  <si>
    <t>Keimer, F.M., R., Sinapius, M., Schntz, D., Raatz, A., Wahl (</t>
  </si>
  <si>
    <t>???</t>
  </si>
  <si>
    <t>Robot control based on skill primitives</t>
  </si>
  <si>
    <t>Kolbus, J., M., Reisinger, T., Maa</t>
  </si>
  <si>
    <t>https://www.actapress.com/PaperInfo.aspx?PaperID=23004&amp;reason=500</t>
  </si>
  <si>
    <t>Direct singularity avoidance strategy for the hexa parallel robot, in: 18th International Congress of Mechanical Engineering (COBEM 2005)</t>
  </si>
  <si>
    <t>Bier, E., C., Maa, J., Campos, A., Queiroz</t>
  </si>
  <si>
    <t>https://abcm.org.br/symposium-series/SSM_Vol2/antigos/Section_III_Robotics/SSM2_I_24.pdf</t>
  </si>
  <si>
    <t>Elements of Reusable Object-Oriented Software</t>
  </si>
  <si>
    <t>Gamma, Design, E., Helm, R., Johnson, R., Vlissides, J., Patterns</t>
  </si>
  <si>
    <t>https://www.amazon.com/Design-Patterns-Elements-Reusable-Object-Oriented/dp/0201633612</t>
  </si>
  <si>
    <t>Engineering selfmanagement into a robot control system</t>
  </si>
  <si>
    <t>Steiner, M., J., Amado, A., Goltz, U., Hagner, M., Huhn</t>
  </si>
  <si>
    <t>n/a</t>
  </si>
  <si>
    <t>Self-management in a control architecture for parallel kinematic robots</t>
  </si>
  <si>
    <t>Maa, A., J., Steiner, J., Amado, A., Hesselbach, J., Huhn, M., Raatz</t>
  </si>
  <si>
    <t>https://doi.org/10.1115/DETC2008-49881</t>
  </si>
  <si>
    <t>3, 9, 11, 13, 16</t>
  </si>
  <si>
    <t>ROS: an open-source Robot Operating System</t>
  </si>
  <si>
    <t>Quigley, A., M., Conley, K., Gerkey, B., Faust, J., Foote, T., Leibs, J., Berger, E., Wheeler, R., Mg</t>
  </si>
  <si>
    <t>http://robotics.stanford.edu/~ang/papers/icraoss09-ROS.pdf</t>
  </si>
  <si>
    <t>Cyber-physical systems: a perspective at the centennial</t>
  </si>
  <si>
    <t>Kim, P.R., B.K., Kumar</t>
  </si>
  <si>
    <t>https://doi.org/10.1109/jproc.2012.2189792</t>
  </si>
  <si>
    <t>Challenges in engineering for software-intensive embedded systems, Model-Based Engineering of Embedded Systems</t>
  </si>
  <si>
    <t>Beetz, M., K., B÷hm, W., Pohl, K., H÷nninger, H., Achatz, R., Broy</t>
  </si>
  <si>
    <t>https://doi.org/10.1007/978-3-642-34614-9_1</t>
  </si>
  <si>
    <t>A taxonomy of uncertainty for dynamically adaptive systems</t>
  </si>
  <si>
    <t>Ramirez, B.H., A.J., Jensen, A.C., Cheng</t>
  </si>
  <si>
    <t>https://doi.org/10.1109/seams.2012.6224396</t>
  </si>
  <si>
    <t>Stitch: a language for architecture-based self-adaptation</t>
  </si>
  <si>
    <t>Cheng, B., S.-W., Garlan, D., Schmerl</t>
  </si>
  <si>
    <t>https://doi.org/10.1016/j.jss.2012.02.060</t>
  </si>
  <si>
    <t>ActivFORMS: active formal models for self-adaptation</t>
  </si>
  <si>
    <t>Iftikhar, D., M.U., Weyns</t>
  </si>
  <si>
    <t>https://doi.org/10.1145/2593929.2593944</t>
  </si>
  <si>
    <t>FORMS: a formal reference model for self-adaptation</t>
  </si>
  <si>
    <t>Weyns, J., D., Malek, S., Andersson</t>
  </si>
  <si>
    <t>https://doi.org/10.1145/1809049.1809078</t>
  </si>
  <si>
    <t>Using architecture models for runtime adaptability</t>
  </si>
  <si>
    <t>Floch, E., J., Hallsteinsen, S., Stav, E., Eliassen, F., Lund, K., Gjorven</t>
  </si>
  <si>
    <t>https://doi.org/10.1109/MS.2006.61</t>
  </si>
  <si>
    <t>Engineering self-adaptive systems through feedback loops, Self-adaptive Systems</t>
  </si>
  <si>
    <t>Brun, J., Y., Cheng, B.H., Lemos, R., Giese, H., Inverardi, P., Magee</t>
  </si>
  <si>
    <t>https://doi.org/10.1007/978-3-642-02161-9_3</t>
  </si>
  <si>
    <t>Meta-adaptation strategies for adaptation in cyber-physical systems, (eds.) ECSA 2015</t>
  </si>
  <si>
    <t>Gerostathopoulos, I., I., Bures, T., Hnetynka, P., Hujecek, A., Plasil, F., Skoda, D., Mirandola, D., Crnkovic, R.</t>
  </si>
  <si>
    <t>https://doi.org/10.1007/978-3-319-23727-5_4</t>
  </si>
  <si>
    <t>final selection Elvin</t>
  </si>
  <si>
    <t>A goal-based modeling approach to develop requirements of an adaptive system with environmental uncertainty, (eds.) MODELS 2009</t>
  </si>
  <si>
    <t>Cheng, B., B.H.C., Sawyer, P., Bencomo, N., Whittle, J., Schⁿrr, A., Selic</t>
  </si>
  <si>
    <t>https://doi.org/10.1007/978-3-642-04425-0_36</t>
  </si>
  <si>
    <t>: ôSelf-healingö: softening precision to avoid brittleness</t>
  </si>
  <si>
    <t>Shaw, M.</t>
  </si>
  <si>
    <t>https://doi.org/10.1145/582128.582152</t>
  </si>
  <si>
    <t>DEECo - an ensemble-based component system</t>
  </si>
  <si>
    <t>Bures, F., T., Gerostathopoulos, I., Hnetynka, P., Keznikl, J., Kit, M., Plasil</t>
  </si>
  <si>
    <t>https://doi.org/10.1145/2465449.2465462</t>
  </si>
  <si>
    <t>Engineering of software-intensive systems: state of the art and research challenges, Software-Intensive Systems</t>
  </si>
  <si>
    <t>H÷lzl, A., M., Rauschmayer, A., Wirsing, M., Wirsing, M., BanΓtre, J.-P., H÷lzl, M., Rauschmayer</t>
  </si>
  <si>
    <t>https://doi.org/10.1007/978-3-540-89437-7_1</t>
  </si>
  <si>
    <t>Towards flexible evolution of dynamically adaptive systems</t>
  </si>
  <si>
    <t>Perrouin, J.-M., G., Morin, B., Chauvel, F., Fleurey, F., Klein, J., Traon, Y.L., Barais, O., Jezequel</t>
  </si>
  <si>
    <t>https://doi.org/10.1109/icse.2012.6227081</t>
  </si>
  <si>
    <t>Architectural hoisting</t>
  </si>
  <si>
    <t>Fairbanks, G.</t>
  </si>
  <si>
    <t>https://doi.org/10.1109/MS.2014.82</t>
  </si>
  <si>
    <t>Software engineering for self-adaptive systems: a research roadmap</t>
  </si>
  <si>
    <t>Cheng, J., B.H.C., de Lemos, R., Giese, H., Inverardi, P., Magee</t>
  </si>
  <si>
    <t>https://doi.org/10.4230/DagSemProc.08031.2</t>
  </si>
  <si>
    <t>Relaxing claims: coping with uncertainty while evaluating assumptions at run time, (eds.) MODELS 2012</t>
  </si>
  <si>
    <t>Ramirez, C., A.J., Cheng, B.H., Bencomo, N., Sawyer, P., Kazmeier, R.B., Breu, J., Atkinson, R.</t>
  </si>
  <si>
    <t>https://doi.org/10.1007/978-3-642-33666-9_5</t>
  </si>
  <si>
    <t>ACon: a learning-based approach to deal with uncertainty in contextual requirements at runtime</t>
  </si>
  <si>
    <t>Knauss, A., A., Damian, D., Franch, X., Rook, A., Mⁿller, H.A., Thomo</t>
  </si>
  <si>
    <t>https://doi.org/10.1016/j.infsof.2015.10.001</t>
  </si>
  <si>
    <t>FUSION: a framework for engineering self-tuning self-adaptive software systems</t>
  </si>
  <si>
    <t>Elkhodary, S., A., Esfahani, N., Malek</t>
  </si>
  <si>
    <t>https://doi.org/10.1145/1882291.1882296</t>
  </si>
  <si>
    <t>DYNAMICO: a reference model for governing control objectives and context relevance in self-adaptive software systems, Self-adaptive Systems</t>
  </si>
  <si>
    <t>Villegas, M., N.M., Tamura, G., Mⁿller, H.A., Duchien, L., Casallas, R., Lemos, R., Giese, H., Mⁿller, H.A., Shaw</t>
  </si>
  <si>
    <t>https://doi.org/10.1007/978-3-642-35813-5_11</t>
  </si>
  <si>
    <t>Specifying real-time properties with metric temporal logic</t>
  </si>
  <si>
    <t>Koymans, R.</t>
  </si>
  <si>
    <t>https://doi.org/10.1007/BF01995674</t>
  </si>
  <si>
    <t>Processing flows of information: From data stream to complex event processing</t>
  </si>
  <si>
    <t>Cugola, A., G., Margara</t>
  </si>
  <si>
    <t>https://doi.org/10.1145/2187671.2187677</t>
  </si>
  <si>
    <t>SECRET: a model for analysis of the execution semantics of stream processing systems</t>
  </si>
  <si>
    <t>Botan, N., I., Derakhshan, R., Dindar, N., Haas, L., Miller, R. J., Tatbul</t>
  </si>
  <si>
    <t>https://doi.org/10.14778/1920841.1920874</t>
  </si>
  <si>
    <t>LARS: A logic-based framework for analyzing reasoning over streams</t>
  </si>
  <si>
    <t>Unknown</t>
  </si>
  <si>
    <t>https://doi.org/10.1609/aaai.v29i1.9408</t>
  </si>
  <si>
    <t>Semantically-enabled sensor plug &amp; play for the sensor web</t>
  </si>
  <si>
    <t>Bro, Malewski, A., ring, P., Maue┤, K., Janowicz, D., Nu, C.</t>
  </si>
  <si>
    <t>https://doi.org/10.3390/s110807568</t>
  </si>
  <si>
    <t>The SSN ontology of the W3C semantic sensor network incubator group</t>
  </si>
  <si>
    <t>al, M. Compton et</t>
  </si>
  <si>
    <t>https://doi.org/10.1016/j.websem.2012.05.003</t>
  </si>
  <si>
    <t>A survey of automated web service composition methods</t>
  </si>
  <si>
    <t>Rao, X., J., Su</t>
  </si>
  <si>
    <t>https://doi.org/10.1007/978-3-540-30581-1_5</t>
  </si>
  <si>
    <t>A survey on web services composition</t>
  </si>
  <si>
    <t>Dustdar, W., S., Schreiner</t>
  </si>
  <si>
    <t>https://doi.org/10.1504/IJWGS.2005.007545</t>
  </si>
  <si>
    <t>Automated synthesis of multirobot task solutions through software reconfiguration,ö in Robotics and Automation</t>
  </si>
  <si>
    <t>Tang, L., F., Parker</t>
  </si>
  <si>
    <t>https://doi.org/10.1109/robot.2005.1570327</t>
  </si>
  <si>
    <t>Autonomous functional configuration of a network robot system</t>
  </si>
  <si>
    <t>Lundh, A., R., Karlsson, L., Saffiotti</t>
  </si>
  <si>
    <t>https://doi.org/10.1016/j.robot.2008.06.006</t>
  </si>
  <si>
    <t>The PEIS-ecology project: vision and results</t>
  </si>
  <si>
    <t>Saffiotti, Y.-J., A., Broxvall, M., Gritti, M., LeBlanc, K., Lundh, R., Rashid, J., Seo, B., Cho</t>
  </si>
  <si>
    <t>https://doi.org/10.1109/iros.2008.4650962</t>
  </si>
  <si>
    <t>The Semantic Web</t>
  </si>
  <si>
    <t>Berners-Lee, O., T., Hendler, J., Lassila</t>
  </si>
  <si>
    <t>https://doi.org/10.1038/scientificamerican0501-34</t>
  </si>
  <si>
    <t>A spatial logic based on regions and connection</t>
  </si>
  <si>
    <t>Randell, A., D., Cui, Z., Cohn</t>
  </si>
  <si>
    <t>https://www.researchgate.net/publication/221393453_A_Spatial_Logic_based_on_Regions_and_Connection</t>
  </si>
  <si>
    <t>DyKnow: An approach to middleware for knowledge processing</t>
  </si>
  <si>
    <t>Heintz, P., F., Doherty</t>
  </si>
  <si>
    <t>https://content.iospress.com/articles/journal-of-intelligent-and-fuzzy-systems/ifs00220</t>
  </si>
  <si>
    <t>A stream-based knowledge processing middleware framework</t>
  </si>
  <si>
    <t>Heintz, F.</t>
  </si>
  <si>
    <t>https://www.diva-portal.org/smash/record.jsf?pid=diva2%3A159661&amp;dswid=7690</t>
  </si>
  <si>
    <t>Towards a logic-based framework for analyzing stream reasoning</t>
  </si>
  <si>
    <t>Beck, M., H., Dao-Tran, M., Eiter, T., Fink</t>
  </si>
  <si>
    <t>https://www.researchgate.net/publication/269465047_Towards_a_Logic-Based_Framework_for_Analyzing_Stream_Reasoning</t>
  </si>
  <si>
    <t>Semantic challenges for sensor plug and play</t>
  </si>
  <si>
    <t>A. Broring, Kuhn, K., Janowicz, C., Stasch, W.</t>
  </si>
  <si>
    <t>https://doi.org/10.1007/978-3-642-10601-9_6</t>
  </si>
  <si>
    <t>OWL-S: Semantic markup for web services</t>
  </si>
  <si>
    <t>Martin, , D.</t>
  </si>
  <si>
    <t>https://www.w3.org/Submission/2004/SUBM-OWL-S-20041122/</t>
  </si>
  <si>
    <t>Web service composition methods: A survey</t>
  </si>
  <si>
    <t>Pejman, A., E., Rastegari, Y., Esfahani, P. M., Salajegheh</t>
  </si>
  <si>
    <t>https://www.iaeng.org/publication/IMECS2012/IMECS2012_pp603-607.pdf</t>
  </si>
  <si>
    <t>Robots that help each other: Self-configuration of distributed robot systems</t>
  </si>
  <si>
    <t>Lundh, R.</t>
  </si>
  <si>
    <t>https://www.diva-portal.org/smash/record.jsf?pid=diva2%3A214200&amp;dswid=4727</t>
  </si>
  <si>
    <t>Planning for temporally extended goals</t>
  </si>
  <si>
    <t>Bacchus, F., F., Kabanza</t>
  </si>
  <si>
    <t>https://cdn.aaai.org/AAAI/1996/AAAI96-180.pdf</t>
  </si>
  <si>
    <t>https://doi.org/10.1023/A:1018985923441</t>
  </si>
  <si>
    <t>Emergency response to the nuclear accident at the fukushima daiichi nuclear power plants using mobile rescue robots</t>
  </si>
  <si>
    <t>Nagatani, S., K., Kiribayashi, S., Okada, Y., Otake, K., Yoshida, K., Tadokoro, S., Nishimura, T., Yoshida, T., Koyanagi, E., Fukushima, M., Kawatsuma</t>
  </si>
  <si>
    <t>https://doi.org/10.1002/rob.21439</t>
  </si>
  <si>
    <t>Follow-up analysis of mobile robot failures,ö in Robotics and Automation, 2004</t>
  </si>
  <si>
    <t>Carlson, A., J., Murphy, R., Nelson</t>
  </si>
  <si>
    <t>https://doi.org/10.1109/robot.2004.1302508</t>
  </si>
  <si>
    <t>Software health management with bayesian networks</t>
  </si>
  <si>
    <t>Schumann, A., J., Mbaya, T., Mengshoel, O., Pipatsrisawat, K., Srivastava, A., Choi, A., Darwiche</t>
  </si>
  <si>
    <t>https://doi.org/10.1007/s11334-013-0214-y</t>
  </si>
  <si>
    <t>Fault detection and isolation in cooperative mobile robots using multilayer architecture and dynamic observers</t>
  </si>
  <si>
    <t>Carrasco, A., R. a., Nu, F., Cipriano</t>
  </si>
  <si>
    <t>https://doi.org/10.1017/S0263574710000457</t>
  </si>
  <si>
    <t>Coalescent multi-robot teaming through asymtre: a formal analysis, ICAR '05</t>
  </si>
  <si>
    <t>https://doi.org/10.1109/icar.2005.1507502</t>
  </si>
  <si>
    <t>Design of dynamically reconfigurable real-time software using port-based objects,ö Software Engineering</t>
  </si>
  <si>
    <t>Stewart, P., D., Volpe, R., Khosla</t>
  </si>
  <si>
    <t>https://doi.org/10.1109/32.637390</t>
  </si>
  <si>
    <t>Robust architectures for embedded wireless network control and actuation,ö ACM Trans</t>
  </si>
  <si>
    <t>Pajic, R., M., Chernoguzov, A., Mangharam</t>
  </si>
  <si>
    <t>https://doi.org/10.1145/2362336.2362349</t>
  </si>
  <si>
    <t>Mobile robot connectivity maintenance based on rf mapping</t>
  </si>
  <si>
    <t>Ayad, 2013, M., Zhang, J., Voyles, R., Mahoor, M., Nov</t>
  </si>
  <si>
    <t>https://doi.org/10.1109/iros.2013.6696840</t>
  </si>
  <si>
    <t>8, 16</t>
  </si>
  <si>
    <t>A heterogeneous modules interconnection architecture for fpga-based partial dynamic reconfiguration,ö in Reconfigurable Communication-centric Systems-on-Chip (ReCoSoC), 2012 7th International Workshop on</t>
  </si>
  <si>
    <t>He, R., M., Cui, Y., Mahoor, M., Voyles</t>
  </si>
  <si>
    <t>https://doi.org/10.1109/recosoc.2012.6322887</t>
  </si>
  <si>
    <t>this is moreso about one piece of the puzzle of the above work, but not applied within a robotic  system yet.</t>
  </si>
  <si>
    <t>Alliance: an architecture for fault tolerant multirobot cooperation,ö Robotics and Automation</t>
  </si>
  <si>
    <t>Parker, L.</t>
  </si>
  <si>
    <t>https://doi.org/10.1109/70.681242</t>
  </si>
  <si>
    <t>Self-managed systems: an architectural challenge</t>
  </si>
  <si>
    <t>Kramer, 2007, J., Magee, J., May</t>
  </si>
  <si>
    <t>https://doi.org/10.1109/FOSE.2007.19</t>
  </si>
  <si>
    <t>Policy-based self-adaptive architectures: A feasibility study in the robotics domain,</t>
  </si>
  <si>
    <t>Georgas, R. N., J. C., Taylor</t>
  </si>
  <si>
    <t>https://doi.org/10.1145/1370018.1370038</t>
  </si>
  <si>
    <t>Scylla: a smart virtual machine for mobile embedded systems,ö in Mobile Computing Systems and Applications, 2000 Third IEEE Workshop on</t>
  </si>
  <si>
    <t>Stanley-Marbell, L., P., Iftode</t>
  </si>
  <si>
    <t>https://doi.org/10.1109/mcsa.2000.895380</t>
  </si>
  <si>
    <t>A tiny virtual machine for sensor networks,ö SIGOPS Oper</t>
  </si>
  <si>
    <t>Levis, D., P., Culler</t>
  </si>
  <si>
    <t>https://doi.org/10.1145/635508.605407</t>
  </si>
  <si>
    <t>Terminatorbot: A novel robot with dual-use mechanism for locomotion and manipulation</t>
  </si>
  <si>
    <t>Voyles, A. C., R. M., Larson</t>
  </si>
  <si>
    <t>https://doi.org/10.1109/TMECH.2004.842245</t>
  </si>
  <si>
    <t>Velodyne LiDAR PUCK TM</t>
  </si>
  <si>
    <t>Autonomous, Stuf</t>
  </si>
  <si>
    <t>irrelevant</t>
  </si>
  <si>
    <t>Model-driven synthesis of formally precise, stylized software architectures,ö Formal Asp</t>
  </si>
  <si>
    <t>Bagheri, K. J., H., Sullivan</t>
  </si>
  <si>
    <t>https://doi.org/10.1007/s00165-016-0360-8</t>
  </si>
  <si>
    <t>Contributions to localization, mapping and navigation in mobile robotics</t>
  </si>
  <si>
    <t>Blanco, J.-L.</t>
  </si>
  <si>
    <t>https://core.ac.uk/download/pdf/62905126.pdf</t>
  </si>
  <si>
    <t>Synthesis and quantitative verification of tradeof spaces for families of software systems,ö in Software Architecture - 11th European Conference, ECSA, ser</t>
  </si>
  <si>
    <t>Camara, B. R., J., Garlan, D., Schmerl</t>
  </si>
  <si>
    <t>https://doi.org/10.1007/978-3-319-65831-5_1</t>
  </si>
  <si>
    <t>MOSAICO: ofline synthesis of adaptation strategy repertoires with flexible trade-ofs</t>
  </si>
  <si>
    <t>Camara, D., J., Schmerl, B. R., Moreno, G. A., Garlan</t>
  </si>
  <si>
    <t>https://doi.org/10.1007/s10515-018-0234-9</t>
  </si>
  <si>
    <t>Software engineering for self-adaptive systems: A second research roadmap,ö in Software Engineering for Self-Adaptive Systems II - International Seminar</t>
  </si>
  <si>
    <t>Lemos</t>
  </si>
  <si>
    <t>https://doi.org/10.1007/978-3-642-35813-5_1</t>
  </si>
  <si>
    <t>KLD-sampling: Adaptive particle filters</t>
  </si>
  <si>
    <t>Fox, D.</t>
  </si>
  <si>
    <t>https://proceedings.neurips.cc/paper_files/paper/2001/file/c5b2cebf15b205503560c4e8e6d1ea78-Paper.pdf</t>
  </si>
  <si>
    <t>Gazebosim</t>
  </si>
  <si>
    <t>-</t>
  </si>
  <si>
    <t>gazebosim.org</t>
  </si>
  <si>
    <t>not a paper.</t>
  </si>
  <si>
    <t>Planning as model checking</t>
  </si>
  <si>
    <t>Giunchiglia, P., F., Traverso</t>
  </si>
  <si>
    <t>https://doi.org/10.1007/10720246_1</t>
  </si>
  <si>
    <t>Views and Viewpoints in Software Systems Architecture</t>
  </si>
  <si>
    <t>Hilliard, R.</t>
  </si>
  <si>
    <t>http://web.mit.edu/richh/www/writings/hilliard99-ifip.pdf</t>
  </si>
  <si>
    <t>A survey of autonomic computing - degrees, models, and applications</t>
  </si>
  <si>
    <t>https://doi.org/10.1145/1380584.1380585</t>
  </si>
  <si>
    <t>Stochastic model checking</t>
  </si>
  <si>
    <t>Kwiatkowska, D., M. Z., Norman, G., Parker</t>
  </si>
  <si>
    <t>https://doi.org/10.1007/978-3-540-72522-0_6</t>
  </si>
  <si>
    <t>Verification of probabilistic real-time systems</t>
  </si>
  <si>
    <t>https://doi.org/10.1007/978-3-642-22110-1_47</t>
  </si>
  <si>
    <t>An Interactive Approach for Situated Task Specification through Verbal Instructions</t>
  </si>
  <si>
    <t>Mericli, M., C., Klee, S., Paparian, J., Veloso</t>
  </si>
  <si>
    <t>https://dl.acm.org/doi/10.5555/2615731.2617416</t>
  </si>
  <si>
    <t>Move_base - ROS Wiki,ö Retrieved on Jan</t>
  </si>
  <si>
    <t>http://wiki.ros.org/move_base</t>
  </si>
  <si>
    <t>Universal plans for reactive robots in unpredictable environments</t>
  </si>
  <si>
    <t>Schoppers, Kaufmann, M., Morgan</t>
  </si>
  <si>
    <t>https://citeseerx.ist.psu.edu/document?repid=rep1&amp;type=pdf&amp;doi=7f8b8255ee8fb30bd5ef7a6a446858d25ecc7868</t>
  </si>
  <si>
    <t>Software architecture - perspectives on an emerging discipline</t>
  </si>
  <si>
    <t>Shaw, D., M., Garlan</t>
  </si>
  <si>
    <t>https://dl.acm.org/doi/abs/10.5555/231003</t>
  </si>
  <si>
    <t>Exploiting non-functional preferences in architectural adaptation for selfmanaged systems,</t>
  </si>
  <si>
    <t>Sykes, Daniel and Heaven, William and Magee, Jeff and Kramer, Jeff</t>
  </si>
  <si>
    <t>https://doi.org/10.1145/1774088.1774180</t>
  </si>
  <si>
    <t>The Object Constraint Language: Getting Your Models Ready for MDA</t>
  </si>
  <si>
    <t>Warmer, A., J., Kleppe</t>
  </si>
  <si>
    <t>https://dl.acm.org/doi/10.5555/861416</t>
  </si>
  <si>
    <t>Compositional verification of self-adaptive cyber-physical systems</t>
  </si>
  <si>
    <t>Borda, B., A., Pasquale, L., Koutavas, V., Nuseibeh</t>
  </si>
  <si>
    <t>https://doi.org/10.1145/3194133.3194146</t>
  </si>
  <si>
    <t>MORPH: A reference architecture for configuration and behaviour self-adaptation,ö in Proceedings of the 1st International Workshop on Control Theory for Software Engineering</t>
  </si>
  <si>
    <t>Braberman, S., V., Ippolito, N. D', Kramer, J., Sykes, D., Uchitel</t>
  </si>
  <si>
    <t>https://doi.org/10.1145/2804337.2804339</t>
  </si>
  <si>
    <t>Designing robust software systems through parametric markov chain synthesis</t>
  </si>
  <si>
    <t>Calinescu, N., R., ?eÜka, M., Gerasimou, S., Kwiatkowska, M., Paoletti</t>
  </si>
  <si>
    <t>https://doi.org/10.1109/icsa.2017.16</t>
  </si>
  <si>
    <t>Synthesizing tradeof spaces with quantitative guarantees for families of software systems</t>
  </si>
  <si>
    <t>Cßmara, B., J., Garlan, D., Schmerl</t>
  </si>
  <si>
    <t>https://doi.org/10.1016/j.jss.2019.02.055</t>
  </si>
  <si>
    <t>Adaptation impact and environment models for architecture-based self-adaptive systems</t>
  </si>
  <si>
    <t>Cßmara, B., J., Lopes, A., Garlan, D., Schmerl</t>
  </si>
  <si>
    <t>https://doi.org/10.1016/j.scico.2015.12.006</t>
  </si>
  <si>
    <t>Model-based assistance for making time/fidelity trade-ofs in component compositions</t>
  </si>
  <si>
    <t>Dwivedi, CS, V., Garlan, D., Pfefer, J., Schmerl, B., IEEE</t>
  </si>
  <si>
    <t>https://doi.org/10.1109/itng.2014.107</t>
  </si>
  <si>
    <t>9, 14</t>
  </si>
  <si>
    <t>Architecture-driven self-adaptation and self-management in robotics systems,ö in 2009 ICSE Workshop on Software Engineering for Adaptive and SelfManaging Systems</t>
  </si>
  <si>
    <t>Edwards, B., G., Garcia, J., Tajalli, H., Popescu, D., Medvidovic, N., Sukhatme, G., Petrus</t>
  </si>
  <si>
    <t>https://doi.org/10.1109/seams.2009.5069083</t>
  </si>
  <si>
    <t>Architectural description of component-based systems</t>
  </si>
  <si>
    <t>Garlan, D., D., Monroe, R. T., Wile</t>
  </si>
  <si>
    <t>https://doi.org/10.1184/R1/6602945.v1</t>
  </si>
  <si>
    <t>Tuning selfadaptation in cyber-physical systems through architectural homeostasis</t>
  </si>
  <si>
    <t>Gerostathopoulos, A., I., Skoda, D., Plasil, F., Bures, T., Knauss</t>
  </si>
  <si>
    <t>this was already found in forward snowballing</t>
  </si>
  <si>
    <t>Automated Planning and Acting</t>
  </si>
  <si>
    <t>Ghallab, P., M., Nau, D., Traverso</t>
  </si>
  <si>
    <t>https://doi.org/10.1017/CBO9781139583923</t>
  </si>
  <si>
    <t>not a paper or chapter</t>
  </si>
  <si>
    <t>Model transformation languages under a magnifying glass: A controlled experiment with Xtend</t>
  </si>
  <si>
    <t>Hebig, A., R., Seidl, C., Berger, T., Pedersen, J. K., Wasowski</t>
  </si>
  <si>
    <t>https://doi.org/10.1145/3236024.3236046</t>
  </si>
  <si>
    <t>Alloy: A lightweight object modelling notation,ö ACM Trans</t>
  </si>
  <si>
    <t>Jackson, D.</t>
  </si>
  <si>
    <t>https://doi.org/10.1145/505145.505149</t>
  </si>
  <si>
    <t>Analyzing architectural styles</t>
  </si>
  <si>
    <t>Kim, D., J., Garlan</t>
  </si>
  <si>
    <t>https://doi.org/10.1016/j.jss.2010.01.049</t>
  </si>
  <si>
    <t>Automated verification and strategy synthesis for probabilistic systems,ö in Automated Technology for Verification and Analysis - 11th International Symposium, ATVA 2013, ser</t>
  </si>
  <si>
    <t>Kwiatkowska, D., M. Z., Parker</t>
  </si>
  <si>
    <t>https://doi.org/10.1007/978-3-319-02444-8_2</t>
  </si>
  <si>
    <t>Optimal and dynamic planning for Markov decision processes with co-safe LTL specifications</t>
  </si>
  <si>
    <t>Lacerda, N., B., Parker, D., Hawes</t>
  </si>
  <si>
    <t>https://doi.org/10.1109/iros.2014.6942756</t>
  </si>
  <si>
    <t>Synthesis of component and connector models from crosscutting structural views,ö in European Software Engineering Conference and Symposium on the Foundations of Software Engineering</t>
  </si>
  <si>
    <t>Maoz, B., S., Ringert, J. O., Rumpe</t>
  </si>
  <si>
    <t>https://doi.org/10.1145/2491411.2491414</t>
  </si>
  <si>
    <t>Assurance in reinforcement learning using quantitative verification</t>
  </si>
  <si>
    <t>Mason, A., G., Calinescu, R., Kudenko, D., Banks</t>
  </si>
  <si>
    <t>https://doi.org/10.1007/978-3-319-66790-4_5</t>
  </si>
  <si>
    <t>Multi-robot LTL planning under uncertainty,ö in Formal Methods</t>
  </si>
  <si>
    <t>Menghi, B., C., Garcia, S., Pelliccione, P., Tumova, J., Havelund, K., Peleska, J., Roscoe</t>
  </si>
  <si>
    <t>https://doi.org/10.1007/978-3-319-95582-7_24</t>
  </si>
  <si>
    <t>Proactive self-adaptation under uncertainty: a probabilistic model checking approach</t>
  </si>
  <si>
    <t>Moreno, M., G. A., Cßmara, J., Garlan, D., Schmerl, B., Nitto, E. D., Harman</t>
  </si>
  <si>
    <t>https://doi.org/10.1145/2786805.2786853</t>
  </si>
  <si>
    <t>Self-adaptation for cyber-physical systems: a systematic literature review</t>
  </si>
  <si>
    <t>Muccini, D., H., Sharaf, M., Weyns</t>
  </si>
  <si>
    <t>https://doi.org/10.1145/2897053.2897069</t>
  </si>
  <si>
    <t>Using unstructured data to improve the continuous planning of critical processes involving humans</t>
  </si>
  <si>
    <t>Paterson, S., C., Calinescu, R., Wang, D., Manandhar</t>
  </si>
  <si>
    <t>https://doi.org/10.1109/seams.2019.00013</t>
  </si>
  <si>
    <t>Speeded up detection of squared fiducial markers</t>
  </si>
  <si>
    <t>Romero-Ramirez, , F. J., R., Medina-Carnicer, R.,</t>
  </si>
  <si>
    <t>https://doi.org/10.1016/j.imavis.2018.05.004</t>
  </si>
  <si>
    <t>Challenges in physical modeling for adaptation of cyber-physical systems,ö in Workshop on MARTCPS Models at Runtime and Networked Control for Cyber Physical Systems at IEEE World Forum on the Internet of Things</t>
  </si>
  <si>
    <t>Ruchkin, D., I., Samuel, S., Schmerl, B., Rico, A., Garlan</t>
  </si>
  <si>
    <t>https://doi.org/10.1109/wf-iot.2016.7845513</t>
  </si>
  <si>
    <t>Static-Time Extraction and Analysis of the ROS Computation Graph</t>
  </si>
  <si>
    <t>Santos, N., A., Cunha, A., Macedo</t>
  </si>
  <si>
    <t>https://doi.org/10.1109/irc.2019.00018</t>
  </si>
  <si>
    <t>From goals to components: a combined approach to self-management,ö in 2008 ICSE Workshop on Software Engineering for Adaptive and Self-Managing Systems, SEAMS 2008</t>
  </si>
  <si>
    <t>Sykes, H. A., D., Heaven, W., Magee, J., Kramer, J., Cheng, B. H. C., Lemos, R., Garlan, D., Giese, H., Litoiu, M., Magee, J., Mⁿller</t>
  </si>
  <si>
    <t>https://doi.org/10.1145/1370018.1370020</t>
  </si>
  <si>
    <t>PLASMA: a plan-based layered architecture for software model-driven adaptation</t>
  </si>
  <si>
    <t>Tajalli, N., H., Garcia, J., Edwards, G., Medvidovic</t>
  </si>
  <si>
    <t>https://doi.org/10.1145/1858996.1859092</t>
  </si>
  <si>
    <t>Robust symbiotic autonomous mobile service robots</t>
  </si>
  <si>
    <t>Veloso, S., M., Biswas, J., Coltin, B., Rosenthal</t>
  </si>
  <si>
    <t>https://doi.org/10.1109/iros.2018.8594067</t>
  </si>
  <si>
    <t>Playing music building context-aware and self-adaptive mobile applications</t>
  </si>
  <si>
    <t>Floch, U., J., Fra, C., Fricke, R., Geihs, K., Wagner, M., Lorenzo, J., Soladana, E., Mehlhase, S., Paspallis, N., Rahnama, H., Ruiz, P., Scholz</t>
  </si>
  <si>
    <t>https://doi.org/10.1002/spe.2116</t>
  </si>
  <si>
    <t>Architectural constraints in the model-driven development of self-adaptive applications</t>
  </si>
  <si>
    <t>Khan, K., M. U., Reichle, R., Geihs</t>
  </si>
  <si>
    <t>https://doi.org/10.1109/MDSO.2008.19</t>
  </si>
  <si>
    <t>A modelling language for cooperative plans in highly dynamic domains</t>
  </si>
  <si>
    <t>Skubch, K., H., Wagner, M., Reichle, R., Geihs</t>
  </si>
  <si>
    <t>https://doi.org/10.1016/j.mechatronics.2010.10.006</t>
  </si>
  <si>
    <t>Completely Unanticipated Dynamic Adaptation of Software</t>
  </si>
  <si>
    <t>Keeney, J.</t>
  </si>
  <si>
    <t>http://www.tara.tcd.ie/handle/2262/30726</t>
  </si>
  <si>
    <t>Clingo = asp + control: Preliminary report</t>
  </si>
  <si>
    <t>Gebser, T., M., Kaminski, R., Kaufmann, B., Schaub</t>
  </si>
  <si>
    <t>https://doi.org/10.48550/arXiv.1405.3694</t>
  </si>
  <si>
    <t>A comprehensive context modeling framework for pervasive computing systems,ö in Proceedings of the 8th IFIP WG 6.1 international conference on Distributed applications and interoperable systems</t>
  </si>
  <si>
    <t>Reichle, G. A., R., Wagner, M., Khan, M. U., Geihs, K., Lorenzo, J., Valla, M., Fra, C., Paspallis, N., Papadopoulos</t>
  </si>
  <si>
    <t>https://doi.org/10.1007/978-3-540-68642-2_23</t>
  </si>
  <si>
    <t>Peis ecologies: Ambient intelligence meets autonomous robotics</t>
  </si>
  <si>
    <t>Saffiotti, M., A., Broxvall</t>
  </si>
  <si>
    <t>https://doi.org/10.1145/1107548.1107615</t>
  </si>
  <si>
    <t>Dyknow: A framework for processing dynamic knowledge and object structures in autonomous systems</t>
  </si>
  <si>
    <t>https://doi.org/10.1007/3-540-32370-8_37</t>
  </si>
  <si>
    <t>https://www.diva-portal.org/smash/record.jsf?dswid=4727&amp;pid=diva2%3A214200</t>
  </si>
  <si>
    <t>Iq-asymtre: Forming executable coalitions for tightly coupled multirobot tasks</t>
  </si>
  <si>
    <t>Zhang, L., Y., Parker</t>
  </si>
  <si>
    <t>https://doi.org/10.1109/TRO.2012.2228135</t>
  </si>
  <si>
    <t>Connect: Emergent connectors for eternal software intensive networked systems</t>
  </si>
  <si>
    <t>Issarny, Consortium, V., Connect</t>
  </si>
  <si>
    <t>https://doi.org/10.1109/iceccs.2009.44</t>
  </si>
  <si>
    <t>Real-timediagnosis and repair of faults of robot control software</t>
  </si>
  <si>
    <t>Gerald, Wotawa, Steinbauer, MartinMorth, Franz</t>
  </si>
  <si>
    <t>https://doi.org/10.1007/11780519_2</t>
  </si>
  <si>
    <t>Towards Automated Online Diagnosiosf RobotNavigationSowftare</t>
  </si>
  <si>
    <t>Alexander, Franz, Kleiner, Gerald, Steinbauer, Wotawa</t>
  </si>
  <si>
    <t>https://doi.org/10.1007/978-3-540-89076-8_18</t>
  </si>
  <si>
    <t>Learning a probabilisticself-awareness model for robotic systems</t>
  </si>
  <si>
    <t>Golombek, M., R., Wrede, S., Hanheide, M., Heckmann</t>
  </si>
  <si>
    <t>https://doi.org/10.1109/iros.2010.5651095</t>
  </si>
  <si>
    <t>Model-based fault diagnosis and reconfiguration of robot drives</t>
  </si>
  <si>
    <t>Hofbaur, Wotawa, Gerald, Steinbauer, Franz</t>
  </si>
  <si>
    <t>https://doi.org/10.1109/iros.2007.4399092</t>
  </si>
  <si>
    <t>A flexible and scalable slam system withfull 3d motion estimation</t>
  </si>
  <si>
    <t>Kohlbrecher, U., S., Meyer, J., Stryk, O., Klingauf</t>
  </si>
  <si>
    <t>https://doi.org/10.1109/ssrr.2011.6106777</t>
  </si>
  <si>
    <t>Fault modeling for monitoringand diagnosis of sensor-rich hybrid systems</t>
  </si>
  <si>
    <t>Koutsoukos, P., X., Zhao, F., Haussecker, H., Reich, J., Cheung</t>
  </si>
  <si>
    <t>https://doi.org/10.1109/cdc.2001.980203</t>
  </si>
  <si>
    <t>A theoryof diagnosisfrom first principles</t>
  </si>
  <si>
    <t>Raymond, Reiter</t>
  </si>
  <si>
    <t>https://doi.org/10.1016/0004-3702(87)90062-2</t>
  </si>
  <si>
    <t>Model-based DiagnosisOr Reasoning From FirstPrinciples</t>
  </si>
  <si>
    <t>Peischl, Franz, Bernhard, Wotawa</t>
  </si>
  <si>
    <t>https://doi.org/10.1109/MIS.2003.1200725</t>
  </si>
  <si>
    <t>Fastplanning throughplanning graph analysis</t>
  </si>
  <si>
    <t>Blum, Merrick L., AvrimL., Furst</t>
  </si>
  <si>
    <t>https://doi.org/10.1016/S0004-3702(96)00047-1</t>
  </si>
  <si>
    <t>Remote Agent:to boldly go where no AI system has gone before</t>
  </si>
  <si>
    <t>Nicola Muscettola, Brian C., P., Pandurang, Nayak, Barney, Pell, Williams</t>
  </si>
  <si>
    <t>https://doi.org/10.1016/S0004-3702(98)00068-X</t>
  </si>
  <si>
    <t>12, 14</t>
  </si>
  <si>
    <t>An architecture for autonomy</t>
  </si>
  <si>
    <t>AIami, F., R., Chatila, R., Fleury, S., Ghallab, M., Ingrand</t>
  </si>
  <si>
    <t>https://doi.org/10.1177/027836499801700402</t>
  </si>
  <si>
    <t>Using qualitativeand model-based reasoning for sensor validationof autonomous robots</t>
  </si>
  <si>
    <t>https://www.researchgate.net/publication/228751643_Using_Qualitative_and_Model-Based_Reasoning_for_Sensor_Validation_of_Autonomous_Mobile_Robots</t>
  </si>
  <si>
    <t>Distributemdonitoringof hybridsystems:A model-directedapproach</t>
  </si>
  <si>
    <t>Zhao, P., F., Koutsoukos, X., Haussecker, H., Reich, J., Cheung</t>
  </si>
  <si>
    <t>https://www.researchgate.net/profile/Horst-Haussecker/publication/2375562_Distributed_Monitoring_of_Hybrid_Systems_A_model-directed_approach/links/0a85e532884ac52f96000000/Distributed-Monitoring-of-Hybrid-Systems-A-model-directed-approach.pdf</t>
  </si>
  <si>
    <t>RoboCupRescue 2011 - Robot League Team AriAnA(Iran)</t>
  </si>
  <si>
    <t>Amir, Soltanzadeh, H., Soltanzadeh, Amir H., Rajabi, Arash, Alizadeh, Golnaz, Eftekhari, Mehdi</t>
  </si>
  <si>
    <t>https://staff.fnwi.uva.nl/a.visser/activities/robocup/RoboCup2013/Symposium/TeamDescriptionPapers/Rescue/Champ2013_Iran_AriAnA_TDP.pdf</t>
  </si>
  <si>
    <t>Pddl theplanning domain denfinition language</t>
  </si>
  <si>
    <t>Dave, Sun, ChristiansonM, Chung Kwok, Smith, Ying</t>
  </si>
  <si>
    <t>https://www.researchgate.net/profile/Craig-Knoblock/publication/2278933_PDDL_-_The_Planning_Domain_Definition_Language/links/0912f50c0c99385e19000000/PDDL-The-Planning-Domain-Definition-Language.pdf</t>
  </si>
  <si>
    <t>Pddl4j</t>
  </si>
  <si>
    <t>Pellier, Damien</t>
  </si>
  <si>
    <t>https://sourceforge.net/projects/pdd4j/</t>
  </si>
  <si>
    <t>Factor graphs and GTSAM: A hands-on introduction,ö Georgia Institute of Technology</t>
  </si>
  <si>
    <t>Dellaert, F.</t>
  </si>
  <si>
    <t>https://citeseerx.ist.psu.edu/document?repid=rep1&amp;type=pdf&amp;doi=5f277ad6aff683be07bed616897a159464354333</t>
  </si>
  <si>
    <t>Monocular visual odometry using a planar road model to solve scale ambiguity</t>
  </si>
  <si>
    <t>Kitt, S., B. M., Rehder, J., Chambers, A. D., Schonbein, M., Lategahn, H., Singh</t>
  </si>
  <si>
    <t>https://kilthub.cmu.edu/articles/Monocular_Visual_Odometry_using_a_Planar_Road_Model_to_Solve_Scale_Ambiguity/6555626/files/12037856.pdf</t>
  </si>
  <si>
    <t>Awards for human-competitive results produced by genetic and evolutionary computation,ö competition held as part of the annual Genetic and Evolutionary Computation Conference (GECCO), sponsored by ACM SIGEVO</t>
  </si>
  <si>
    <t>https://www.human-competitive.org/</t>
  </si>
  <si>
    <t>Artificial life and real robots,</t>
  </si>
  <si>
    <t>Brooks, R. A.</t>
  </si>
  <si>
    <t>https://people.csail.mit.edu/brooks/papers/real-robots.pdf</t>
  </si>
  <si>
    <t>Parallelized stochastic gradient descent</t>
  </si>
  <si>
    <t>Zinkevich, A. J., M., Weimer, M., Li, L., Smola</t>
  </si>
  <si>
    <t>https://proceedings.neurips.cc/paper_files/paper/2010/file/abea47ba24142ed16b7d8fbf2c740e0d-Paper.pdf</t>
  </si>
  <si>
    <t>Exploiting open-endedness to solve problems through the search for novelty</t>
  </si>
  <si>
    <t>Lehman, K. O., J., Stanley</t>
  </si>
  <si>
    <t>https://www.academia.edu/download/25396037/0262287196chap43.pdf</t>
  </si>
  <si>
    <t>Steering control of an autonomous ground vehicle with application to the DARPA urban challenge</t>
  </si>
  <si>
    <t>Campbell, S. F.</t>
  </si>
  <si>
    <t>http://hdl.handle.net/1721.1/42301</t>
  </si>
  <si>
    <t>Rectified linear units improve restricted boltzmann machines</t>
  </si>
  <si>
    <t>Nair, G. E., V., Hinton</t>
  </si>
  <si>
    <t>https://www.cs.toronto.edu/~hinton/absps/reluICML.pdf</t>
  </si>
  <si>
    <t>Lane marking based localization using highly accurate maps,ö in 2013 IEEE Intelligent Vehicles Symposium (IV)</t>
  </si>
  <si>
    <t>Schreiber, U., M., Kno, C., Franke</t>
  </si>
  <si>
    <t>https://doi.org/10.1109/ivs.2013.6629509</t>
  </si>
  <si>
    <t>Robust localization using relative and absolute position estimates</t>
  </si>
  <si>
    <t>Goel, S. I., P., Roumeliotis</t>
  </si>
  <si>
    <t>https://doi.org/10.1109/iros.1999.812832</t>
  </si>
  <si>
    <t>Probabilistic self-localization for mobile robots</t>
  </si>
  <si>
    <t>Olson, C.</t>
  </si>
  <si>
    <t>https://doi.org/10.1109/70.833191</t>
  </si>
  <si>
    <t>An open platform for aggressive autonomous driving</t>
  </si>
  <si>
    <t>Goldfain, P., B., Drews, P., You, C., Barulic, M., Velev, O., Tsiotras</t>
  </si>
  <si>
    <t>https://doi.org/10.1109/MCS.2018.2876958</t>
  </si>
  <si>
    <t>Review of visual odometry: types, approaches, challenges, and applications</t>
  </si>
  <si>
    <t>Aqel, N. B., M. O., Marhaban, M. H., Saripan, M. I., Ismail</t>
  </si>
  <si>
    <t>https://doi.org/10.1186/s40064-016-3573-7</t>
  </si>
  <si>
    <t>Continuous 3d scan-matching with a spinning 2d laser,</t>
  </si>
  <si>
    <t>Bosse, R., M., Zlot</t>
  </si>
  <si>
    <t>https://doi.org/10.1109/robot.2009.5152851</t>
  </si>
  <si>
    <t>Continuous trajectory estimation for 3d slam from actuated lidar</t>
  </si>
  <si>
    <t>Alismail, B., H., Baker, L. D., Browning</t>
  </si>
  <si>
    <t>https://doi.org/10.1109/icra.2014.6907757</t>
  </si>
  <si>
    <t>3d scan registration based localization for autonomous vehicles-a comparison of ndt and icp under realistic conditions</t>
  </si>
  <si>
    <t>Pang, H., S., Kent, D., Cai, X., Al-Qassab, H., Morris, D., Radha</t>
  </si>
  <si>
    <t>https://doi.org/10.1109/vtcfall.2018.8690819</t>
  </si>
  <si>
    <t>Evolutionary robotics</t>
  </si>
  <si>
    <t>Nolfi, D., S., Bongard, J., Husbands, P., Floreano</t>
  </si>
  <si>
    <t>https://doi.org/10.1007/978-3-319-32552-1_76</t>
  </si>
  <si>
    <t>Automatically exploring how uncertainty impacts the behavior of dynamically adaptive systems</t>
  </si>
  <si>
    <t>Ramirez, D. B., A. J., Jensen, A. C., Cheng, B. H. C., Knoester</t>
  </si>
  <si>
    <t>https://doi.org/10.1109/ase.2011.6100127</t>
  </si>
  <si>
    <t>Running across the reality gap: Octopod locomotion evolved in a minimal simulation</t>
  </si>
  <si>
    <t>Jakobi, N.</t>
  </si>
  <si>
    <t>https://doi.org/10.1007/3-540-64957-3_63</t>
  </si>
  <si>
    <t>Once more unto the breach: Coevolving a robot and its simulator,</t>
  </si>
  <si>
    <t>Bongard, H., J. C., Lipson</t>
  </si>
  <si>
    <t>https://doi.org/10.7551/mitpress/1429.001.0001</t>
  </si>
  <si>
    <t>Crossing the reality gap in evolutionary robotics by promoting transferable controllers</t>
  </si>
  <si>
    <t>Koos, S., S., Mouret, J. B., Doncieux</t>
  </si>
  <si>
    <t>https://doi.org/10.1145/1830483.1830505</t>
  </si>
  <si>
    <t>Evolutionary algorithms for reinforcement learning</t>
  </si>
  <si>
    <t>Moriarty, A. C., D. E., Schultz</t>
  </si>
  <si>
    <t>https://doi.org/10.1613/jair.613</t>
  </si>
  <si>
    <t>Open issues in evolutionary robotics</t>
  </si>
  <si>
    <t>Silva, A. L., F., Duarte, M., Correia, L., Oliveira, S. M., Christensen</t>
  </si>
  <si>
    <t>https://doi.org/10.1162/EVCO_a_00172</t>
  </si>
  <si>
    <t>EvoROS: Integrating evolution and the Robot Operating System</t>
  </si>
  <si>
    <t>Simon, P. K., G. A., Clark, A. J., Moore, J. M., McKinley</t>
  </si>
  <si>
    <t>https://doi.org/10.1145/3205651.3208269</t>
  </si>
  <si>
    <t>Applying evolution and novelty search to enhance the resilience of autonomous systems</t>
  </si>
  <si>
    <t>Langford, B. H. C., M. A., Simon, G. A., McKinley, P. K., Cheng</t>
  </si>
  <si>
    <t>https://doi.org/10.1109/seams.2019.00017</t>
  </si>
  <si>
    <t>I realize it is at SEAMS but its not quite a SAS yet, emphasis on the System.</t>
  </si>
  <si>
    <t>An open approach to autonomous vehicles</t>
  </si>
  <si>
    <t>Kato, T., S., Takeuchi, E., Ishiguro, Y., Ninomiya, Y., Takeda, K., Hamada</t>
  </si>
  <si>
    <t>https://doi.org/10.1109/MM.2015.133</t>
  </si>
  <si>
    <t>A predictive controller for autonomous vehicle path tracking</t>
  </si>
  <si>
    <t>Raffo, L. B., G. V., Gomes, G. K., Normey-Rico, J. E., Kelber, C. R., Becker</t>
  </si>
  <si>
    <t>https://doi.org/10.1109/TITS.2008.2011697</t>
  </si>
  <si>
    <t>What is the best multi-stage architecture for object recognition?</t>
  </si>
  <si>
    <t>Jarrett, Y., K., Kavukcuoglu, K., Ranzato, M., LeCun</t>
  </si>
  <si>
    <t>https://doi.org/10.1109/iccv.2009.5459469</t>
  </si>
  <si>
    <t>A generalized extended Kalman filter implementation for the robot operating system</t>
  </si>
  <si>
    <t>Moore, D., T., Stouch</t>
  </si>
  <si>
    <t>https://doi.org/10.1007/978-3-319-08338-4_25</t>
  </si>
  <si>
    <t>Lowpower centimeter-level localization for indoor mobile robots based on ensemble Kalman smoother using received signal strength</t>
  </si>
  <si>
    <t>Zhuang, J., Y., Wang, Q., Shi, M., Cao, P., Qi, L., Yang</t>
  </si>
  <si>
    <t>https://doi.org/10.1109/JIOT.2019.2907707</t>
  </si>
  <si>
    <t>Robotic roommates making pancakes</t>
  </si>
  <si>
    <t>Michael Beetz, Ulrich Klank, Ingo Kresse, Alexis Maldonado, Lorenz Mosenlechner, Dejan Pangercic, Thomas Ruhr, Moritz Tenorth</t>
  </si>
  <si>
    <t>https://doi.org/10.1109/humanoids.2011.6100855</t>
  </si>
  <si>
    <t>Component-based refactoring of motion planning libraries</t>
  </si>
  <si>
    <t>D Brugali, W Nowak, L Gherardi, A Zakharov, E Prassler</t>
  </si>
  <si>
    <t>https://doi.org/10.1109/iros.2010.5650630</t>
  </si>
  <si>
    <t>Poster: Model-based Run-time Variability Resolution for Robotic Applications</t>
  </si>
  <si>
    <t>Luca Gherardi, Nico Hochgeschwender</t>
  </si>
  <si>
    <t>https://doi.org/10.1109/icse.2015.269</t>
  </si>
  <si>
    <t>its earlier work for primary 14 but its only two pages and involve no actual robot</t>
  </si>
  <si>
    <t>Modeling and reusing robotic software architectures: The HyperFlex toolchain</t>
  </si>
  <si>
    <t>Luca Gherardi, Davide Brugali</t>
  </si>
  <si>
    <t>https://doi.org/10.1109/icra.2014.6907806</t>
  </si>
  <si>
    <t>Final Selection Elvin</t>
  </si>
  <si>
    <t>Feature-Oriented Domain Analysis (FODA) Feasibility Study</t>
  </si>
  <si>
    <t>Kyo C. Kang, Sholom G. Cohen, James A. Hess, William E. Novak, A. S. Peterson</t>
  </si>
  <si>
    <t>https://apps.dtic.mil/sti/pdfs/ADA235785.pdf</t>
  </si>
  <si>
    <t>An eclipse-based Feature Models toolchain</t>
  </si>
  <si>
    <t>https://aisberg.unibg.it/retrieve/e40f7b84-1ab5-afca-e053-6605fe0aeaf2/EclipseIT2011.pdf</t>
  </si>
  <si>
    <t>tool</t>
  </si>
  <si>
    <t>Automated planning for feature model configuration based on functional and non-functional requirements</t>
  </si>
  <si>
    <t>Samaneh Soltani, Mohsen Asadi, Dragan Gašević, Marek Hatala, Ebrahim Bagheri</t>
  </si>
  <si>
    <t>https://doi.org/10.1145/2362536.2362548</t>
  </si>
  <si>
    <t>Stability and control of a quadrocopter despite the complete loss of one, two, or three propellers</t>
  </si>
  <si>
    <t>Mark W. Mueller, Raffaello D'Andrea</t>
  </si>
  <si>
    <t>https://doi.org/10.1109/icra.2014.6906588</t>
  </si>
  <si>
    <t>ESL: a language for supporting robust plan execution in embedded autonomous agents</t>
  </si>
  <si>
    <t>E. Gat</t>
  </si>
  <si>
    <t>https://doi.org/10.1109/aero.1997.574422</t>
  </si>
  <si>
    <t>Experiences with an architecture for intelligent, reactive agents</t>
  </si>
  <si>
    <t>R. Peter Bonasso, David Kortenkamp, David P. Miller, Marc Slack</t>
  </si>
  <si>
    <t>https://doi.org/10.1007/3540608052_67</t>
  </si>
  <si>
    <t>Plan execution interchange language (PLEXIL) for executable plans and command sequences</t>
  </si>
  <si>
    <t xml:space="preserve">Verma V, Estlin T, Jónsson A, Pasareanu C, Simmons R, Tso K. Plan </t>
  </si>
  <si>
    <t>http://www.cs.cmu.edu/~reids/papers/exec_isairas05.pdf</t>
  </si>
  <si>
    <t>A survey of autonomic computing—degrees, models, and applications</t>
  </si>
  <si>
    <t>Huebscher, Markus C. and McCann, Julie A.</t>
  </si>
  <si>
    <t>https://dl.acm.org/doi/10.1145/1380584.1380585</t>
  </si>
  <si>
    <t>V3CMM: a 3-View Component Meta-Model for Model-Driven Robotic Software Development</t>
  </si>
  <si>
    <t>https://aisberg.unibg.it/handle/10446/86153</t>
  </si>
  <si>
    <t>A Model-based Approach to Software Deployment in Robotics</t>
  </si>
  <si>
    <t>Nico Hochgeschwender, Luca Gherardi, Azamat Shakhirmardanov, Gerhard K. Kraetzschmar, Davide Brugali, Herman Bruyninckx</t>
  </si>
  <si>
    <t>https://doi.org/10.1109/iros.2013.6696915</t>
  </si>
  <si>
    <t>no runtime (yet) their future work would be selected by how they describe it</t>
  </si>
  <si>
    <t>A platform for aerial robotics research and demonstration: The Flying Machine Arena</t>
  </si>
  <si>
    <t>Lupashin, M., S., Hehn, M., Mueller, M. W., Schoellig, A. P., Sherback</t>
  </si>
  <si>
    <t>https://doi.org/10.1016/j.mechatronics.2013.11.006</t>
  </si>
  <si>
    <t>Towards component-based robotics</t>
  </si>
  <si>
    <t>A. Brooks, T. Kaupp, A. Makarenko, S. Williams, A. Oreback</t>
  </si>
  <si>
    <t>https://doi.org/10.1109/iros.2005.1545523</t>
  </si>
  <si>
    <t>GenoM3: Building middleware-independent robotic components</t>
  </si>
  <si>
    <t>Anthony Mallet, Cédric Pasteur, Matthieu Herrb, Séverin Lemaignan, Félix Ingrand</t>
  </si>
  <si>
    <t>https://doi.org/10.1109/robot.2010.5509539</t>
  </si>
  <si>
    <t>ReFrESH: A self-adaptation framework to support fault tolerance in field mobile robots</t>
  </si>
  <si>
    <t>Yanzhe Cui, Richard M. Voyles, Joshua T. Lane, Mohammad H. Mahoor</t>
  </si>
  <si>
    <t>https://doi.org/10.1109/iros.2014.6942765</t>
  </si>
  <si>
    <t>primary 8</t>
  </si>
  <si>
    <t>RecoNode: A reconfigurable node for heterogeneous multi-robot search and rescue</t>
  </si>
  <si>
    <t>Richard M. Voyles, Sam Povilus, Rahul Mangharam, Kang Li</t>
  </si>
  <si>
    <t>https://doi.org/10.1109/ssrr.2010.5981569</t>
  </si>
  <si>
    <t>Hexrotor UAV platform enabling dextrous interaction with structures-flight test</t>
  </si>
  <si>
    <t>Guangying Jiang, Richard Voyles</t>
  </si>
  <si>
    <t>https://doi.org/10.1109/ssrr.2013.6719377</t>
  </si>
  <si>
    <t>The stewart platform manipulator: a review</t>
  </si>
  <si>
    <t>Dasgupta, T., B., Mruthyunjaya</t>
  </si>
  <si>
    <t>https://doi.org/10.1016/S0094-114X(99)00006-3</t>
  </si>
  <si>
    <t>A new design of a 6-dof parallel robot</t>
  </si>
  <si>
    <t>Pierrot, D. P., F., Uchiyama, M.</t>
  </si>
  <si>
    <t>https://doi.org/10.20965/jrm.1990.p0308</t>
  </si>
  <si>
    <t>Self-calibration of the HEXA-parallel-structure</t>
  </si>
  <si>
    <t>P. Last, C. Budde, J. Hesselbach</t>
  </si>
  <si>
    <t>https://doi.org/10.1109/coase.2005.1506801</t>
  </si>
  <si>
    <t>Analyzing cyberphysical threats on robotic platforms</t>
  </si>
  <si>
    <t>Ahmad Yousef, B., K., AlMajali, A., Ghalyon, S., Dweik, W., Mohd</t>
  </si>
  <si>
    <t>https://doi.org/10.3390/s18051643</t>
  </si>
  <si>
    <t>Targeted Attacks on Teleoperated Surgical Robots: Dynamic Model-Based Detection and Mitigation</t>
  </si>
  <si>
    <t>Homa Alemzadeh, Daniel Chen, Xiao Li, Thenkurussi Kesavadas, Zbigniew T. Kalbarczyk, Ravishankar K. Iyer</t>
  </si>
  <si>
    <t>https://doi.org/10.1109/dsn.2016.43</t>
  </si>
  <si>
    <t>Specification-Based Monitoring of Cyber-Physical Systems: A Survey on Theory, Tools and Applications</t>
  </si>
  <si>
    <t>Bartocci, E.</t>
  </si>
  <si>
    <t>https://doi.org/10.1007/978-3-319-75632-5_5</t>
  </si>
  <si>
    <t>dr0wned-cyber-physical attack with additive manufacturing</t>
  </si>
  <si>
    <t>Belikovetsky, S.</t>
  </si>
  <si>
    <t>https://dl.acm.org/doi/abs/10.5555/3154768.3154769</t>
  </si>
  <si>
    <t>Directed greybox fuzzing</t>
  </si>
  <si>
    <t>Marcel Böhme, Van-Thuan Pham, Manh-Dung Nguyen, and Abhik Roychoudhury</t>
  </si>
  <si>
    <t>https://doi.org/10.1145/3133956.3134020</t>
  </si>
  <si>
    <t>To make a robot secure: an experimental analysis of cyber security threats against teleoperated surgical robots</t>
  </si>
  <si>
    <t>Bonaci, H.J., T., Herron, J., Yusuf, T., Yan, J., Kohno, T., Chizeck</t>
  </si>
  <si>
    <t>https://doi.org/10.48550/arXiv.1504.04339</t>
  </si>
  <si>
    <t>Secure Cyber-Physical Systems: Current trends, tools and open research problems</t>
  </si>
  <si>
    <t>Anupam Chattopadhyay, Alok Prakash, Muhammad Shafique</t>
  </si>
  <si>
    <t>https://doi.org/10.23919/date.2017.7927154</t>
  </si>
  <si>
    <t>Orpheus: enforcing cyber-physical execution semantics to defend against data-oriented attacks</t>
  </si>
  <si>
    <t>Long Cheng, Ke Tian, Danfeng (Daphne) Yao</t>
  </si>
  <si>
    <t>https://doi.org/10.1145/3134600.3134640</t>
  </si>
  <si>
    <t>KCAD: kinetic cyber-attack detection method for cyber-physical additive manufacturing systems</t>
  </si>
  <si>
    <t>Sujit Rokka Chhetri, Arquimedes Canedo, Mohammad Abdullah Al Faruque</t>
  </si>
  <si>
    <t>https://doi.org/10.1145/2966986.2967050</t>
  </si>
  <si>
    <t>Fingerprinting electronic control units for vehicle intrusion detection, in: 25th USENIX Security Symposium (USENIX Security 16</t>
  </si>
  <si>
    <t>Cho, K.G., K.-T., Shin</t>
  </si>
  <si>
    <t>https://dl.acm.org/doi/abs/10.5555/3241094.3241165</t>
  </si>
  <si>
    <t>A reliable position estimation method of the service robot by map matching</t>
  </si>
  <si>
    <t>Dongheui Lee,  Woojin Chung,  Munsang Kim</t>
  </si>
  <si>
    <t>https://doi.org/10.1109/robot.2003.1242021</t>
  </si>
  <si>
    <t>Service robotics and human labor: a first technology assessment of substitution and cooperation</t>
  </si>
  <si>
    <t>Decker, I., M., Fischer, M., Ott</t>
  </si>
  <si>
    <t>https://doi.org/10.1016/j.robot.2016.09.017</t>
  </si>
  <si>
    <t>Estimation of Safe Sensor Measurements of Autonomous System Under Attack</t>
  </si>
  <si>
    <t>Raj Gautam Dutta, Xiaolong Guo, Teng Zhang, Kevin Kwiat, Charles Kamhoua, Laurent Njilla, Yier Jin</t>
  </si>
  <si>
    <t>https://doi.org/10.1145/3061639.3062241</t>
  </si>
  <si>
    <t>Cleaning and household robots: a technology survey</t>
  </si>
  <si>
    <t>Fiorini, E., P., Prassler</t>
  </si>
  <si>
    <t>https://doi.org/10.1023/A:1008954632763</t>
  </si>
  <si>
    <t>Detection of cyber-attacks to indoor real time localization systems for autonomous robots</t>
  </si>
  <si>
    <t>Guerrero-Higueras, V., ┴.M., DeCastro-Garc?a, N., Matellßn</t>
  </si>
  <si>
    <t>https://doi.org/10.1016/j.robot.2017.10.006</t>
  </si>
  <si>
    <t>Applied ontologies and standards for service robots</t>
  </si>
  <si>
    <t>Haidegger, E., T., Barreto, M., Gonalves, P., Habib, M.K., Ragavan, S.K.V., Li, H., Vaccarella, A., Perrone, R., Prestes</t>
  </si>
  <si>
    <t>https://doi.org/10.1016/j.robot.2013.05.008</t>
  </si>
  <si>
    <t>meta</t>
  </si>
  <si>
    <t>Cyber-physical systems security - a survey</t>
  </si>
  <si>
    <t>Humayed, B., A., Lin, J., Li, F., Luo</t>
  </si>
  <si>
    <t>https://doi.org/10.1109/JIOT.2017.2703172</t>
  </si>
  <si>
    <t>Robot hazards: from safety to security</t>
  </si>
  <si>
    <t>Kirschgens, V.M., L.A., Ugarte, I.Z., Gil-Uriarte, E., Rosas, A.M., Vilches</t>
  </si>
  <si>
    <t>https://doi.org/10.48550/arXiv.1806.06681</t>
  </si>
  <si>
    <t>Cybersecurity of robotics and autonomous systems: Privacy and safety</t>
  </si>
  <si>
    <t>Lera, V.M., F.J.R., Llamas, C.F., Guerrero, ├.M., Olivera</t>
  </si>
  <si>
    <t>https://doi.org/10.5772/intechopen.69796</t>
  </si>
  <si>
    <t>Improved deep belief networks (IDBN) dynamic model-based detection and mitigation for targeted attacks on heavy-duty robots</t>
  </si>
  <si>
    <t>Li, Z., L., Xie, L., Li, W., Liu, Z., Wang</t>
  </si>
  <si>
    <t>https://doi.org/10.3390/app8050676</t>
  </si>
  <si>
    <t>False data injection attacks against state estimation in electric power grids</t>
  </si>
  <si>
    <t>Yao Liu, Peng Ning, Michael K. Reiter</t>
  </si>
  <si>
    <t>https://doi.org/10.1145/1653662.1653666</t>
  </si>
  <si>
    <t>Vulnerability assessment and defense technology for smart home cybersecurity considering pricing cyberattacks</t>
  </si>
  <si>
    <t>Yang Liu, Shiyan Hu, Tsung-Yi Ho</t>
  </si>
  <si>
    <t>https://doi.org/10.1109/iccad.2014.7001350</t>
  </si>
  <si>
    <t>A survey of intrusion detection techniques for cyber-physical systems, ACM Comput</t>
  </si>
  <si>
    <t>Mitchell, I.-R., R., Chen</t>
  </si>
  <si>
    <t>https://doi.org/10.1145/2542049</t>
  </si>
  <si>
    <t>R2U2: monitoring and diagnosis of security threats for unmanned aerial systems</t>
  </si>
  <si>
    <t>Moosbrugger, J., P., Rozier, K.Y., Schumann</t>
  </si>
  <si>
    <t>https://doi.org/10.1007/s10703-017-0275-x</t>
  </si>
  <si>
    <t>An experimental security analysis of an industrial robot controller, in: 2017 IEEE Symposium on Security and Privacy</t>
  </si>
  <si>
    <t>Quarta, S., D., Pogliani, M., Polino, M., Maggi, F., Zanchettin, A.M., Zanero</t>
  </si>
  <si>
    <t>https://doi.org/10.1109/SP.2017.20</t>
  </si>
  <si>
    <t>A comprehensive approach, and a case study, for conducting attack detection experiments in cyber-physical systems, Rob</t>
  </si>
  <si>
    <t>Sabaliauskaite, A., G., Ng, G., Ruths, J., Mathur</t>
  </si>
  <si>
    <t>https://doi.org/10.1016/j.robot.2017.09.018</t>
  </si>
  <si>
    <t>How safe are service robots in urban environments? bullying a robot</t>
  </si>
  <si>
    <t>Salvini, P., P., Ciaravella, G., Yu, W., Ferri, G., Manzi, A., Mazzolai, B., Laschi, C., Oh, S.R., Dario</t>
  </si>
  <si>
    <t>https://doi.org/10.1109/ROMAN.2010.5654677</t>
  </si>
  <si>
    <t>Outside the closed world: On using machine learning for network intrusion detection</t>
  </si>
  <si>
    <t>Sommer, V., R., Paxson</t>
  </si>
  <si>
    <t>https://doi.org/10.1109/SP.2010.25</t>
  </si>
  <si>
    <t>Fuzzing for Software Security Testing and Quality Assurance, first ed</t>
  </si>
  <si>
    <t>Takanen, C., A., Demott, J.D., Miller</t>
  </si>
  <si>
    <t>https://dl.acm.org/doi/10.5555/3275309</t>
  </si>
  <si>
    <t>Limiting the Impact of Stealthy Attacks on Industrial Control Systems</t>
  </si>
  <si>
    <t>David I. Urbina, Jairo A. Giraldo, Alvaro A. Cardenas, Nils Ole Tippenhauer, Junia Valente, Mustafa Faisal, Justin Ruths, Richard Candell, Henrik Sandberg</t>
  </si>
  <si>
    <t>https://doi.org/10.1145/2976749.2978388</t>
  </si>
  <si>
    <t>Rorg: Service Robot Software Management with Linux Containers</t>
  </si>
  <si>
    <t>Shengye Wang, Xiao Liu, Jishen Zhao, Henrik I. Christensen</t>
  </si>
  <si>
    <t>https://doi.org/10.1109/icra.2019.8793764</t>
  </si>
  <si>
    <t>very interesting but it does not actively tackle uncertainty. it would enable self-adaptation though</t>
  </si>
  <si>
    <t>Aspect-oriented Modeling of Attacks in Automotive Cyber-Physical Systems</t>
  </si>
  <si>
    <t>Armin Wasicek, Patricia Derler, Edward A. Lee</t>
  </si>
  <si>
    <t>https://doi.org/10.1145/2593069.2593095</t>
  </si>
  <si>
    <t>Security analysis of proactive participation of smart buildings in smart grid</t>
  </si>
  <si>
    <t>Tianshu Wei, Bowen Zheng, Qi Zhu, Shiyan Hu</t>
  </si>
  <si>
    <t>https://doi.org/10.1109/iccad.2015.7372606</t>
  </si>
  <si>
    <t>Leveraging strategic detection techniques for smart home pricing cyberattacks</t>
  </si>
  <si>
    <t>Liu, T., Y., Hu, S., Ho</t>
  </si>
  <si>
    <t>https://doi.org/10.1109/TDSC.2015.2427841</t>
  </si>
  <si>
    <t>Exploring energy-efficient cache design in emerging mobile platforms</t>
  </si>
  <si>
    <t>Yan, X., K., Peng, L., Chen, M., Fu</t>
  </si>
  <si>
    <t>https://doi.org/10.1145/2843940</t>
  </si>
  <si>
    <t>Design and verification for transportation system security</t>
  </si>
  <si>
    <t>Bowen Zheng, Wenchao Li, Peng Deng, Léonard Gérard, Qi Zhu, Natarajan Shankar</t>
  </si>
  <si>
    <t>https://doi.org/10.1145/2744769.2747920</t>
  </si>
  <si>
    <t>Cross-layer codesign for secure cyber-physical systems</t>
  </si>
  <si>
    <t>Zheng, F., B., Deng, P., Anguluri, R., Zhu, Q., Pasqualetti</t>
  </si>
  <si>
    <t>https://doi.org/10.1109/TCAD.2016.2523937</t>
  </si>
  <si>
    <t>Multi-robot cooperation for assembly: Automated planning and optimization</t>
  </si>
  <si>
    <t xml:space="preserve"> L. Nagele, A. Schierl, A. Hoffmann, and W. Reif</t>
  </si>
  <si>
    <t>https://doi.org/10.1007/978-3-030-63193-2_10</t>
  </si>
  <si>
    <t>OPC Unified Architecture: Interoperability for Industrie 4.0 and the internet of things</t>
  </si>
  <si>
    <t>T. Burke</t>
  </si>
  <si>
    <t>https://opcfoundation.org/wp-content/uploads/2023/05/OPC-UA-Interoperability-For-Industrie4-and-IoT-EN.pdf</t>
  </si>
  <si>
    <t>Open source OPC UA PubSub over TSN for realtime industrial communication</t>
  </si>
  <si>
    <t>J. Pfrommer, A. Ebner, S. Ravikumar, and B. Karunakaran</t>
  </si>
  <si>
    <t>https://doi.org/10.1109/ETFA.2018.8502479</t>
  </si>
  <si>
    <t>OPC Unified Architecture Part 14: PubSub (OPC 10000-14)</t>
  </si>
  <si>
    <t>https://opcfoundation.org/developer-tools/specifications-unified-architecture/part-14-pubsub</t>
  </si>
  <si>
    <t>Robot Operating System 2: Design, architecture, and uses in the wild</t>
  </si>
  <si>
    <t xml:space="preserve"> S. Macenski, T. Foote, B. Gerkey, C. Lalancette, and W. Woodall</t>
  </si>
  <si>
    <t>https://doi.org/10.1126/scirobotics.abm6074</t>
  </si>
  <si>
    <t>seen before in selection</t>
  </si>
  <si>
    <t>Towards a Real-Time Capable Plug &amp; Produce Environment for Adaptable Factories</t>
  </si>
  <si>
    <t>C. Eymuller, J. Hanke, A. Hoffmann, A. Poeppel, C. Wanninger, and W. Reif</t>
  </si>
  <si>
    <t>https://doi.org/10.1109/ETFA45728.2021.9613729</t>
  </si>
  <si>
    <t>its earlier work on 36, but they don't actualy do any self-adaptation _yet_</t>
  </si>
  <si>
    <t>Generation of the orchestrator code for skill-based automation systems</t>
  </si>
  <si>
    <t>K. Dorofeev, S. Bergemann, T. Terzimehic, J. Grothoff, M. Thies, and A. Zoitl</t>
  </si>
  <si>
    <t>https://doi.org/10.1109/ETFA45728.2021.9613728</t>
  </si>
  <si>
    <t>really more about control architectures</t>
  </si>
  <si>
    <t>Architectural standards for internet of things: From research to industrial adaption</t>
  </si>
  <si>
    <t xml:space="preserve"> S. S. A. Simnani, S. Shah, and M. T. Banday</t>
  </si>
  <si>
    <t>https://doi.org/10.1109/IC3I44769.2018.9007292</t>
  </si>
  <si>
    <t>A gentle introduction to OSGi</t>
  </si>
  <si>
    <t>A. L. Tavares and M. T. Valente</t>
  </si>
  <si>
    <t>https://doi.org/10.1145/1402521.1402526</t>
  </si>
  <si>
    <t>C++ Micro Services</t>
  </si>
  <si>
    <t>http://cppmicroservices.org/</t>
  </si>
  <si>
    <t>Real-Time Innovations (RTI)Connext Professional DDS</t>
  </si>
  <si>
    <t>https://www.rti.com/products/connext-dds-professional</t>
  </si>
  <si>
    <t>Note: Some selected studies have been removed after further discussion, this document has the final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</si>
</sst>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
    <numFmt numFmtId="165" formatCode="d\,\ m\,\ yy"/>
  </numFmts>
  <fonts count="51">
    <font>
      <sz val="10"/>
      <color rgb="FF000000"/>
      <name val="Arial"/>
      <scheme val="minor"/>
    </font>
    <font>
      <b/>
      <sz val="10"/>
      <color theme="1"/>
      <name val="Arial"/>
      <scheme val="minor"/>
    </font>
    <font>
      <b/>
      <sz val="10"/>
      <color theme="1"/>
      <name val="Arial"/>
      <scheme val="minor"/>
    </font>
    <font>
      <sz val="10"/>
      <color theme="1"/>
      <name val="Arial"/>
      <scheme val="minor"/>
    </font>
    <font>
      <sz val="10"/>
      <color theme="1"/>
      <name val="Arial"/>
      <scheme val="minor"/>
    </font>
    <font>
      <u/>
      <sz val="10"/>
      <color rgb="FF0000FF"/>
      <name val="Arial"/>
    </font>
    <font>
      <u/>
      <sz val="10"/>
      <color rgb="FF1155CC"/>
      <name val="Arial"/>
    </font>
    <font>
      <sz val="10"/>
      <color theme="1"/>
      <name val="Arial"/>
    </font>
    <font>
      <u/>
      <sz val="10"/>
      <color rgb="FF1155CC"/>
      <name val="Arial"/>
    </font>
    <font>
      <u/>
      <sz val="10"/>
      <color rgb="FF0000FF"/>
      <name val="Arial"/>
    </font>
    <font>
      <sz val="10"/>
      <color theme="1"/>
      <name val="Arial"/>
    </font>
    <font>
      <u/>
      <sz val="10"/>
      <color rgb="FF1155CC"/>
      <name val="Arial"/>
    </font>
    <font>
      <sz val="11"/>
      <color theme="1"/>
      <name val="Calibri"/>
    </font>
    <font>
      <u/>
      <sz val="11"/>
      <color rgb="FF0000FF"/>
      <name val="Calibri"/>
    </font>
    <font>
      <u/>
      <sz val="10"/>
      <color rgb="FF0000FF"/>
      <name val="Arial"/>
    </font>
    <font>
      <u/>
      <sz val="10"/>
      <color rgb="FF0000FF"/>
      <name val="Arial"/>
    </font>
    <font>
      <sz val="10"/>
      <color rgb="FF333333"/>
      <name val="&quot;HelveticaNeue Regular&quot;"/>
    </font>
    <font>
      <u/>
      <sz val="10"/>
      <color rgb="FF0000FF"/>
      <name val="Arial"/>
    </font>
    <font>
      <u/>
      <sz val="10"/>
      <color rgb="FF0000FF"/>
      <name val="Arial"/>
    </font>
    <font>
      <sz val="11"/>
      <color rgb="FF000000"/>
      <name val="Calibri"/>
    </font>
    <font>
      <b/>
      <sz val="10"/>
      <color theme="1"/>
      <name val="Arial"/>
    </font>
    <font>
      <sz val="10"/>
      <color rgb="FF333333"/>
      <name val="Sans-serif"/>
    </font>
    <font>
      <u/>
      <sz val="11"/>
      <color rgb="FF000000"/>
      <name val="Calibri"/>
    </font>
    <font>
      <u/>
      <sz val="10"/>
      <color rgb="FF0000FF"/>
      <name val="Arial"/>
    </font>
    <font>
      <u/>
      <sz val="10"/>
      <color rgb="FF006699"/>
      <name val="&quot;HelveticaNeue Regular&quot;"/>
    </font>
    <font>
      <sz val="9"/>
      <color rgb="FF222222"/>
      <name val="Arial"/>
    </font>
    <font>
      <sz val="9"/>
      <color rgb="FF1F1F1F"/>
      <name val="&quot;Google Sans&quot;"/>
    </font>
    <font>
      <u/>
      <sz val="9"/>
      <color rgb="FF1F1F1F"/>
      <name val="&quot;Google Sans&quot;"/>
    </font>
    <font>
      <sz val="10"/>
      <color rgb="FF337AB7"/>
      <name val="&quot;Helvetica Neue&quot;"/>
    </font>
    <font>
      <sz val="10"/>
      <color rgb="FF1F1F1F"/>
      <name val="ElsevierGulliver"/>
    </font>
    <font>
      <sz val="10"/>
      <color rgb="FF333333"/>
      <name val="Arial"/>
    </font>
    <font>
      <u/>
      <sz val="12"/>
      <color rgb="FF505050"/>
      <name val="Arial"/>
    </font>
    <font>
      <u/>
      <sz val="11"/>
      <color rgb="FF0000FF"/>
      <name val="Calibri"/>
    </font>
    <font>
      <u/>
      <sz val="11"/>
      <color rgb="FF0000FF"/>
      <name val="Calibri"/>
    </font>
    <font>
      <u/>
      <sz val="11"/>
      <color rgb="FF0000FF"/>
      <name val="Calibri"/>
    </font>
    <font>
      <u/>
      <sz val="11"/>
      <color rgb="FF0000FF"/>
      <name val="Calibri"/>
    </font>
    <font>
      <u/>
      <sz val="11"/>
      <color rgb="FF0000FF"/>
      <name val="Calibri"/>
    </font>
    <font>
      <u/>
      <sz val="10"/>
      <color rgb="FF0000FF"/>
      <name val="Arial"/>
    </font>
    <font>
      <u/>
      <sz val="11"/>
      <color rgb="FF0000FF"/>
      <name val="Calibri"/>
    </font>
    <font>
      <u/>
      <sz val="10"/>
      <color rgb="FF0000FF"/>
      <name val="Arial"/>
    </font>
    <font>
      <u/>
      <sz val="11"/>
      <color rgb="FF0000FF"/>
      <name val="Calibri"/>
    </font>
    <font>
      <u/>
      <sz val="11"/>
      <color rgb="FF0000FF"/>
      <name val="Calibri"/>
    </font>
    <font>
      <u/>
      <sz val="11"/>
      <color rgb="FF0000FF"/>
      <name val="Calibri"/>
    </font>
    <font>
      <u/>
      <sz val="11"/>
      <color rgb="FF0000FF"/>
      <name val="Calibri"/>
    </font>
    <font>
      <u/>
      <sz val="10"/>
      <color rgb="FF0000FF"/>
      <name val="Arial"/>
    </font>
    <font>
      <u/>
      <sz val="12"/>
      <color rgb="FF333333"/>
      <name val="Arial"/>
    </font>
    <font>
      <u/>
      <sz val="11"/>
      <color rgb="FF0000FF"/>
      <name val="Calibri"/>
    </font>
    <font>
      <u/>
      <sz val="12"/>
      <color rgb="FF0000FF"/>
      <name val="-apple-system"/>
    </font>
    <font>
      <u/>
      <sz val="11"/>
      <color rgb="FF0000FF"/>
      <name val="&quot;Open Sans&quot;"/>
    </font>
    <font>
      <u/>
      <sz val="11"/>
      <color rgb="FF0000FF"/>
      <name val="Consolas"/>
    </font>
    <font>
      <u/>
      <sz val="11"/>
      <color rgb="FF000000"/>
      <name val="Calibri"/>
    </font>
  </fonts>
  <fills count="7">
    <fill>
      <patternFill patternType="none"/>
    </fill>
    <fill>
      <patternFill patternType="gray125"/>
    </fill>
    <fill>
      <patternFill patternType="solid">
        <fgColor rgb="FFA9D08E"/>
        <bgColor rgb="FFA9D08E"/>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FCFCFC"/>
        <bgColor rgb="FFFCFCFC"/>
      </patternFill>
    </fill>
  </fills>
  <borders count="4">
    <border>
      <left/>
      <right/>
      <top/>
      <bottom/>
      <diagonal/>
    </border>
    <border>
      <left/>
      <right/>
      <top style="thin">
        <color rgb="FFA9D08E"/>
      </top>
      <bottom style="thin">
        <color rgb="FFA9D08E"/>
      </bottom>
      <diagonal/>
    </border>
    <border>
      <left/>
      <right/>
      <top/>
      <bottom style="thin">
        <color rgb="FFA9D08E"/>
      </bottom>
      <diagonal/>
    </border>
    <border>
      <left style="thin">
        <color rgb="FFA9D08E"/>
      </left>
      <right/>
      <top style="thin">
        <color rgb="FFA9D08E"/>
      </top>
      <bottom style="thin">
        <color rgb="FFA9D08E"/>
      </bottom>
      <diagonal/>
    </border>
  </borders>
  <cellStyleXfs count="1">
    <xf numFmtId="0" fontId="0" fillId="0" borderId="0"/>
  </cellStyleXfs>
  <cellXfs count="109">
    <xf numFmtId="0" fontId="0" fillId="0" borderId="0" xfId="0" applyFont="1" applyAlignment="1"/>
    <xf numFmtId="0" fontId="1" fillId="0" borderId="0" xfId="0" applyFont="1" applyAlignment="1">
      <alignment horizontal="center"/>
    </xf>
    <xf numFmtId="0" fontId="2" fillId="0" borderId="0" xfId="0" applyFont="1" applyAlignment="1"/>
    <xf numFmtId="0" fontId="3" fillId="0" borderId="0" xfId="0" applyFont="1" applyAlignment="1"/>
    <xf numFmtId="0" fontId="4" fillId="0" borderId="0" xfId="0" applyFont="1" applyAlignment="1">
      <alignment wrapText="1"/>
    </xf>
    <xf numFmtId="0" fontId="4" fillId="0" borderId="0" xfId="0" applyFont="1" applyAlignment="1">
      <alignment wrapText="1"/>
    </xf>
    <xf numFmtId="0" fontId="4" fillId="0" borderId="0" xfId="0" applyFont="1" applyAlignment="1">
      <alignment horizontal="right"/>
    </xf>
    <xf numFmtId="0" fontId="4" fillId="0" borderId="0" xfId="0" applyFont="1" applyAlignment="1"/>
    <xf numFmtId="0" fontId="5" fillId="0" borderId="0" xfId="0" applyFont="1" applyAlignment="1"/>
    <xf numFmtId="0" fontId="4" fillId="0" borderId="0" xfId="0" applyFont="1" applyAlignment="1"/>
    <xf numFmtId="0" fontId="4" fillId="0" borderId="0" xfId="0" applyFont="1" applyAlignment="1"/>
    <xf numFmtId="0" fontId="4" fillId="0" borderId="0" xfId="0" applyFont="1" applyAlignment="1">
      <alignment horizontal="right"/>
    </xf>
    <xf numFmtId="0" fontId="6" fillId="0" borderId="0" xfId="0" applyFont="1" applyAlignment="1"/>
    <xf numFmtId="0" fontId="4" fillId="0" borderId="0" xfId="0" applyFont="1" applyAlignment="1"/>
    <xf numFmtId="0" fontId="7" fillId="0" borderId="0" xfId="0" applyFont="1" applyAlignment="1">
      <alignment wrapText="1"/>
    </xf>
    <xf numFmtId="0" fontId="7" fillId="0" borderId="0" xfId="0" applyFont="1" applyAlignment="1">
      <alignment horizontal="right"/>
    </xf>
    <xf numFmtId="0" fontId="7" fillId="0" borderId="0" xfId="0" applyFont="1" applyAlignment="1"/>
    <xf numFmtId="0" fontId="8" fillId="0" borderId="0" xfId="0" applyFont="1" applyAlignment="1"/>
    <xf numFmtId="0" fontId="9" fillId="0" borderId="0" xfId="0" applyFont="1" applyAlignment="1"/>
    <xf numFmtId="0" fontId="10" fillId="0" borderId="0" xfId="0" applyFont="1" applyAlignment="1"/>
    <xf numFmtId="0" fontId="10" fillId="0" borderId="0" xfId="0" applyFont="1" applyAlignment="1">
      <alignment horizontal="right"/>
    </xf>
    <xf numFmtId="0" fontId="11" fillId="0" borderId="0" xfId="0" applyFont="1" applyAlignment="1"/>
    <xf numFmtId="0" fontId="2" fillId="2" borderId="0" xfId="0" applyFont="1" applyFill="1" applyAlignment="1">
      <alignment horizontal="center"/>
    </xf>
    <xf numFmtId="0" fontId="3" fillId="2" borderId="0" xfId="0" applyFont="1" applyFill="1"/>
    <xf numFmtId="0" fontId="3" fillId="2" borderId="0" xfId="0" applyFont="1" applyFill="1" applyAlignment="1">
      <alignment horizontal="left"/>
    </xf>
    <xf numFmtId="0" fontId="12" fillId="2" borderId="0" xfId="0" applyFont="1" applyFill="1" applyAlignment="1">
      <alignment horizontal="left"/>
    </xf>
    <xf numFmtId="0" fontId="13" fillId="2" borderId="0" xfId="0" applyFont="1" applyFill="1" applyAlignment="1">
      <alignment horizontal="left"/>
    </xf>
    <xf numFmtId="0" fontId="10" fillId="2" borderId="0" xfId="0" applyFont="1" applyFill="1" applyAlignment="1">
      <alignment horizontal="left"/>
    </xf>
    <xf numFmtId="0" fontId="3" fillId="2" borderId="0" xfId="0" applyFont="1" applyFill="1" applyAlignment="1">
      <alignment horizontal="left"/>
    </xf>
    <xf numFmtId="0" fontId="3" fillId="0" borderId="0" xfId="0" applyFont="1" applyAlignment="1">
      <alignment horizontal="left"/>
    </xf>
    <xf numFmtId="0" fontId="14" fillId="0" borderId="0" xfId="0" applyFont="1" applyAlignment="1"/>
    <xf numFmtId="0" fontId="15" fillId="0" borderId="0" xfId="0" applyFont="1" applyAlignment="1"/>
    <xf numFmtId="0" fontId="16" fillId="3" borderId="0" xfId="0" applyFont="1" applyFill="1" applyAlignment="1"/>
    <xf numFmtId="0" fontId="3" fillId="2" borderId="0" xfId="0" applyFont="1" applyFill="1" applyAlignment="1">
      <alignment horizontal="right"/>
    </xf>
    <xf numFmtId="0" fontId="17" fillId="2" borderId="0" xfId="0" applyFont="1" applyFill="1" applyAlignment="1">
      <alignment horizontal="left"/>
    </xf>
    <xf numFmtId="0" fontId="3" fillId="2" borderId="0" xfId="0" applyFont="1" applyFill="1" applyAlignment="1"/>
    <xf numFmtId="0" fontId="3" fillId="0" borderId="0" xfId="0" applyFont="1" applyAlignment="1"/>
    <xf numFmtId="0" fontId="18" fillId="0" borderId="0" xfId="0" applyFont="1" applyAlignment="1"/>
    <xf numFmtId="0" fontId="19" fillId="0" borderId="1" xfId="0" applyFont="1" applyBorder="1" applyAlignment="1"/>
    <xf numFmtId="0" fontId="1" fillId="0" borderId="0" xfId="0" applyFont="1" applyAlignment="1"/>
    <xf numFmtId="0" fontId="1" fillId="0" borderId="0" xfId="0" applyFont="1" applyAlignment="1"/>
    <xf numFmtId="0" fontId="20" fillId="4" borderId="0" xfId="0" applyFont="1" applyFill="1" applyAlignment="1"/>
    <xf numFmtId="0" fontId="20" fillId="4" borderId="0" xfId="0" applyFont="1" applyFill="1" applyAlignment="1"/>
    <xf numFmtId="0" fontId="20" fillId="5" borderId="0" xfId="0" applyFont="1" applyFill="1" applyAlignment="1"/>
    <xf numFmtId="0" fontId="20" fillId="5" borderId="0" xfId="0" applyFont="1" applyFill="1" applyAlignment="1"/>
    <xf numFmtId="0" fontId="20" fillId="0" borderId="0" xfId="0" applyFont="1" applyAlignment="1"/>
    <xf numFmtId="0" fontId="21" fillId="3" borderId="0" xfId="0" applyFont="1" applyFill="1" applyAlignment="1"/>
    <xf numFmtId="0" fontId="10" fillId="4" borderId="0" xfId="0" applyFont="1" applyFill="1" applyAlignment="1"/>
    <xf numFmtId="0" fontId="10" fillId="4" borderId="0" xfId="0" applyFont="1" applyFill="1" applyAlignment="1"/>
    <xf numFmtId="0" fontId="10" fillId="5" borderId="0" xfId="0" applyFont="1" applyFill="1" applyAlignment="1"/>
    <xf numFmtId="0" fontId="3" fillId="5" borderId="0" xfId="0" applyFont="1" applyFill="1"/>
    <xf numFmtId="0" fontId="3" fillId="5" borderId="0" xfId="0" applyFont="1" applyFill="1" applyAlignment="1"/>
    <xf numFmtId="0" fontId="3" fillId="4" borderId="0" xfId="0" applyFont="1" applyFill="1"/>
    <xf numFmtId="0" fontId="3" fillId="4" borderId="0" xfId="0" applyFont="1" applyFill="1" applyAlignment="1"/>
    <xf numFmtId="0" fontId="3" fillId="0" borderId="0" xfId="0" applyFont="1" applyAlignment="1"/>
    <xf numFmtId="0" fontId="3" fillId="4" borderId="0" xfId="0" applyFont="1" applyFill="1" applyAlignment="1"/>
    <xf numFmtId="0" fontId="12" fillId="0" borderId="0" xfId="0" applyFont="1" applyAlignment="1">
      <alignment horizontal="right"/>
    </xf>
    <xf numFmtId="0" fontId="12" fillId="0" borderId="0" xfId="0" applyFont="1" applyAlignment="1"/>
    <xf numFmtId="0" fontId="22" fillId="0" borderId="0" xfId="0" applyFont="1" applyAlignment="1"/>
    <xf numFmtId="0" fontId="3" fillId="0" borderId="0" xfId="0" applyFont="1" applyAlignment="1"/>
    <xf numFmtId="0" fontId="23" fillId="0" borderId="0" xfId="0" applyFont="1" applyAlignment="1"/>
    <xf numFmtId="0" fontId="24" fillId="0" borderId="0" xfId="0" applyFont="1" applyAlignment="1"/>
    <xf numFmtId="0" fontId="25" fillId="3" borderId="0" xfId="0" applyFont="1" applyFill="1" applyAlignment="1"/>
    <xf numFmtId="0" fontId="26" fillId="3" borderId="0" xfId="0" applyFont="1" applyFill="1" applyAlignment="1"/>
    <xf numFmtId="0" fontId="27" fillId="3" borderId="0" xfId="0" applyFont="1" applyFill="1" applyAlignment="1"/>
    <xf numFmtId="164" fontId="3" fillId="0" borderId="0" xfId="0" applyNumberFormat="1" applyFont="1" applyAlignment="1"/>
    <xf numFmtId="0" fontId="28" fillId="0" borderId="0" xfId="0" applyFont="1" applyAlignment="1">
      <alignment horizontal="left"/>
    </xf>
    <xf numFmtId="0" fontId="29" fillId="0" borderId="0" xfId="0" applyFont="1" applyAlignment="1"/>
    <xf numFmtId="0" fontId="30" fillId="3" borderId="0" xfId="0" applyFont="1" applyFill="1" applyAlignment="1"/>
    <xf numFmtId="0" fontId="31" fillId="3" borderId="0" xfId="0" applyFont="1" applyFill="1" applyAlignment="1"/>
    <xf numFmtId="0" fontId="2" fillId="5" borderId="0" xfId="0" applyFont="1" applyFill="1" applyAlignment="1"/>
    <xf numFmtId="0" fontId="20" fillId="0" borderId="0" xfId="0" applyFont="1" applyAlignment="1"/>
    <xf numFmtId="0" fontId="12" fillId="0" borderId="1" xfId="0" applyFont="1" applyBorder="1" applyAlignment="1"/>
    <xf numFmtId="0" fontId="12" fillId="0" borderId="1" xfId="0" applyFont="1" applyBorder="1" applyAlignment="1">
      <alignment horizontal="right"/>
    </xf>
    <xf numFmtId="0" fontId="32" fillId="0" borderId="1" xfId="0" applyFont="1" applyBorder="1" applyAlignment="1"/>
    <xf numFmtId="0" fontId="3" fillId="0" borderId="0" xfId="0" applyFont="1"/>
    <xf numFmtId="0" fontId="33" fillId="0" borderId="2" xfId="0" applyFont="1" applyBorder="1" applyAlignment="1"/>
    <xf numFmtId="165" fontId="3" fillId="0" borderId="0" xfId="0" applyNumberFormat="1" applyFont="1" applyAlignment="1"/>
    <xf numFmtId="0" fontId="34" fillId="0" borderId="2" xfId="0" applyFont="1" applyBorder="1" applyAlignment="1"/>
    <xf numFmtId="0" fontId="35" fillId="0" borderId="0" xfId="0" applyFont="1" applyAlignment="1"/>
    <xf numFmtId="0" fontId="12" fillId="0" borderId="1" xfId="0" applyFont="1" applyBorder="1" applyAlignment="1"/>
    <xf numFmtId="0" fontId="36" fillId="0" borderId="1" xfId="0" applyFont="1" applyBorder="1" applyAlignment="1"/>
    <xf numFmtId="0" fontId="37" fillId="0" borderId="2" xfId="0" applyFont="1" applyBorder="1" applyAlignment="1"/>
    <xf numFmtId="0" fontId="38" fillId="0" borderId="0" xfId="0" applyFont="1" applyAlignment="1"/>
    <xf numFmtId="0" fontId="39" fillId="0" borderId="2" xfId="0" applyFont="1" applyBorder="1" applyAlignment="1"/>
    <xf numFmtId="0" fontId="40" fillId="0" borderId="1" xfId="0" applyFont="1" applyBorder="1" applyAlignment="1"/>
    <xf numFmtId="0" fontId="41" fillId="0" borderId="2" xfId="0" applyFont="1" applyBorder="1" applyAlignment="1"/>
    <xf numFmtId="0" fontId="3" fillId="0" borderId="2" xfId="0" applyFont="1" applyBorder="1" applyAlignment="1"/>
    <xf numFmtId="0" fontId="12" fillId="0" borderId="2" xfId="0" applyFont="1" applyBorder="1" applyAlignment="1"/>
    <xf numFmtId="0" fontId="12" fillId="0" borderId="0" xfId="0" applyFont="1" applyAlignment="1"/>
    <xf numFmtId="0" fontId="42" fillId="0" borderId="0" xfId="0" applyFont="1" applyAlignment="1"/>
    <xf numFmtId="0" fontId="43" fillId="0" borderId="2" xfId="0" applyFont="1" applyBorder="1" applyAlignment="1"/>
    <xf numFmtId="0" fontId="44" fillId="0" borderId="1" xfId="0" applyFont="1" applyBorder="1" applyAlignment="1"/>
    <xf numFmtId="0" fontId="45" fillId="6" borderId="0" xfId="0" applyFont="1" applyFill="1" applyAlignment="1">
      <alignment horizontal="left"/>
    </xf>
    <xf numFmtId="0" fontId="46" fillId="0" borderId="1" xfId="0" applyFont="1" applyBorder="1" applyAlignment="1"/>
    <xf numFmtId="0" fontId="47" fillId="0" borderId="2" xfId="0" applyFont="1" applyBorder="1" applyAlignment="1">
      <alignment horizontal="left"/>
    </xf>
    <xf numFmtId="0" fontId="48" fillId="0" borderId="2" xfId="0" applyFont="1" applyBorder="1" applyAlignment="1"/>
    <xf numFmtId="0" fontId="49" fillId="0" borderId="1" xfId="0" applyFont="1" applyBorder="1" applyAlignment="1"/>
    <xf numFmtId="0" fontId="50" fillId="0" borderId="2" xfId="0" applyFont="1" applyBorder="1" applyAlignment="1"/>
    <xf numFmtId="0" fontId="19" fillId="0" borderId="3" xfId="0" applyFont="1" applyBorder="1" applyAlignment="1"/>
    <xf numFmtId="0" fontId="19" fillId="0" borderId="1" xfId="0" applyFont="1" applyBorder="1" applyAlignment="1">
      <alignment horizontal="right"/>
    </xf>
    <xf numFmtId="0" fontId="19" fillId="4" borderId="1" xfId="0" applyFont="1" applyFill="1" applyBorder="1" applyAlignment="1"/>
    <xf numFmtId="0" fontId="19" fillId="5" borderId="1" xfId="0" applyFont="1" applyFill="1" applyBorder="1" applyAlignment="1"/>
    <xf numFmtId="0" fontId="19" fillId="0" borderId="1" xfId="0" applyFont="1" applyBorder="1" applyAlignment="1"/>
    <xf numFmtId="0" fontId="19" fillId="4" borderId="1" xfId="0" applyFont="1" applyFill="1" applyBorder="1" applyAlignment="1"/>
    <xf numFmtId="0" fontId="1" fillId="0" borderId="0" xfId="0" applyFont="1" applyAlignment="1">
      <alignment horizontal="center"/>
    </xf>
    <xf numFmtId="0" fontId="0" fillId="0" borderId="0" xfId="0" applyFont="1" applyAlignment="1"/>
    <xf numFmtId="0" fontId="1" fillId="2" borderId="0" xfId="0" applyFont="1" applyFill="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09/ICRA.2013.6630618" TargetMode="External"/><Relationship Id="rId13" Type="http://schemas.openxmlformats.org/officeDocument/2006/relationships/hyperlink" Target="https://doi.org/10.1109/IRC59093.2023.00063" TargetMode="External"/><Relationship Id="rId18" Type="http://schemas.openxmlformats.org/officeDocument/2006/relationships/hyperlink" Target="http://doi.org/10.1109/ICRA48506.2021.9560876" TargetMode="External"/><Relationship Id="rId26" Type="http://schemas.openxmlformats.org/officeDocument/2006/relationships/hyperlink" Target="https://doi.org/10.1145/2025113.2025147" TargetMode="External"/><Relationship Id="rId3" Type="http://schemas.openxmlformats.org/officeDocument/2006/relationships/hyperlink" Target="https://doi.org/10.1109/IROS.2017.8206440" TargetMode="External"/><Relationship Id="rId21" Type="http://schemas.openxmlformats.org/officeDocument/2006/relationships/hyperlink" Target="https://doi.org/10.1109/IRC.2018.00027" TargetMode="External"/><Relationship Id="rId7" Type="http://schemas.openxmlformats.org/officeDocument/2006/relationships/hyperlink" Target="https://doi.org/10.1109/SEAMS.2015.21" TargetMode="External"/><Relationship Id="rId12" Type="http://schemas.openxmlformats.org/officeDocument/2006/relationships/hyperlink" Target="https://doi.org/10.1109/IROS.2015.7353731" TargetMode="External"/><Relationship Id="rId17" Type="http://schemas.openxmlformats.org/officeDocument/2006/relationships/hyperlink" Target="https://doi.org/10.1145/3019612.3019653" TargetMode="External"/><Relationship Id="rId25" Type="http://schemas.openxmlformats.org/officeDocument/2006/relationships/hyperlink" Target="https://doi.org/10.1109/SEAMS59076.2023.00031" TargetMode="External"/><Relationship Id="rId2" Type="http://schemas.openxmlformats.org/officeDocument/2006/relationships/hyperlink" Target="https://doi.org/10.1007/978-3-319-48992-6_8" TargetMode="External"/><Relationship Id="rId16" Type="http://schemas.openxmlformats.org/officeDocument/2006/relationships/hyperlink" Target="https://doi.org/10.1109/RoSE52553.2021.00011" TargetMode="External"/><Relationship Id="rId20" Type="http://schemas.openxmlformats.org/officeDocument/2006/relationships/hyperlink" Target="https://www.joanneum.at/fileadmin/ROBOTICS/ARW_Proceedings/2017_ARW-Proceedings.pdf" TargetMode="External"/><Relationship Id="rId29" Type="http://schemas.openxmlformats.org/officeDocument/2006/relationships/hyperlink" Target="https://doi.org/10.1109/seams.2019.00015" TargetMode="External"/><Relationship Id="rId1" Type="http://schemas.openxmlformats.org/officeDocument/2006/relationships/hyperlink" Target="https://doi.org/10.1016/j.sysarc.2012.12.001" TargetMode="External"/><Relationship Id="rId6" Type="http://schemas.openxmlformats.org/officeDocument/2006/relationships/hyperlink" Target="https://doi.org/10.1109/IRC.2017.47" TargetMode="External"/><Relationship Id="rId11" Type="http://schemas.openxmlformats.org/officeDocument/2006/relationships/hyperlink" Target="https://doi.org/10.1016/j.sysarc.2020.101838" TargetMode="External"/><Relationship Id="rId24" Type="http://schemas.openxmlformats.org/officeDocument/2006/relationships/hyperlink" Target="https://doi.org/10.1016/j.ifacol.2016.07.765" TargetMode="External"/><Relationship Id="rId5" Type="http://schemas.openxmlformats.org/officeDocument/2006/relationships/hyperlink" Target="https://doi.org/10.1145/3387939.3391591" TargetMode="External"/><Relationship Id="rId15" Type="http://schemas.openxmlformats.org/officeDocument/2006/relationships/hyperlink" Target="https://doi.org/10.1007/s10514-015-9472-x" TargetMode="External"/><Relationship Id="rId23" Type="http://schemas.openxmlformats.org/officeDocument/2006/relationships/hyperlink" Target="https://doi.org/10.1109/IRC52146.2021.00019" TargetMode="External"/><Relationship Id="rId28" Type="http://schemas.openxmlformats.org/officeDocument/2006/relationships/hyperlink" Target="https://doi.org/10.1109/ssrr.2012.6523874" TargetMode="External"/><Relationship Id="rId10" Type="http://schemas.openxmlformats.org/officeDocument/2006/relationships/hyperlink" Target="https://doi.org/10.1109/IROS.2015.7353608" TargetMode="External"/><Relationship Id="rId19" Type="http://schemas.openxmlformats.org/officeDocument/2006/relationships/hyperlink" Target="http://doi.org/10.1109/CEET1.2019.8711846" TargetMode="External"/><Relationship Id="rId31" Type="http://schemas.openxmlformats.org/officeDocument/2006/relationships/hyperlink" Target="https://doi.org/10.1007/978-3-642-38484-4_31" TargetMode="External"/><Relationship Id="rId4" Type="http://schemas.openxmlformats.org/officeDocument/2006/relationships/hyperlink" Target="https://doi.org/10.1109/IROS.2014.6942765" TargetMode="External"/><Relationship Id="rId9" Type="http://schemas.openxmlformats.org/officeDocument/2006/relationships/hyperlink" Target="https://doi.org/10.1109/IROS45743.2020.9341427" TargetMode="External"/><Relationship Id="rId14" Type="http://schemas.openxmlformats.org/officeDocument/2006/relationships/hyperlink" Target="https://doi.org/10.1016/j.jss.2018.10.051" TargetMode="External"/><Relationship Id="rId22" Type="http://schemas.openxmlformats.org/officeDocument/2006/relationships/hyperlink" Target="https://doi.org/10.1109/SIMPAR.2016.7862379" TargetMode="External"/><Relationship Id="rId27" Type="http://schemas.openxmlformats.org/officeDocument/2006/relationships/hyperlink" Target="https://doi.org/10.1109/simpar.2016.7862375" TargetMode="External"/><Relationship Id="rId30" Type="http://schemas.openxmlformats.org/officeDocument/2006/relationships/hyperlink" Target="https://doi.org/10.1002/spe.107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016/j.engappai.2023.106281" TargetMode="External"/><Relationship Id="rId21" Type="http://schemas.openxmlformats.org/officeDocument/2006/relationships/hyperlink" Target="https://www.elibrary.ru/yllueq" TargetMode="External"/><Relationship Id="rId42" Type="http://schemas.openxmlformats.org/officeDocument/2006/relationships/hyperlink" Target="https://doi.org/10.1017/S0269888918000176" TargetMode="External"/><Relationship Id="rId63" Type="http://schemas.openxmlformats.org/officeDocument/2006/relationships/hyperlink" Target="https://doi.org/10.1109/NTIC55069.2022.10100355" TargetMode="External"/><Relationship Id="rId84" Type="http://schemas.openxmlformats.org/officeDocument/2006/relationships/hyperlink" Target="https://doi.org/10.1016/j.ygeno.2021.03.037" TargetMode="External"/><Relationship Id="rId138" Type="http://schemas.openxmlformats.org/officeDocument/2006/relationships/hyperlink" Target="https://hal.science/tel-01276555/" TargetMode="External"/><Relationship Id="rId159" Type="http://schemas.openxmlformats.org/officeDocument/2006/relationships/hyperlink" Target="https://www.joanneum.at/fileadmin/ROBOTICS/ARW_Proceedings/2017_ARW-Proceedings.pdf" TargetMode="External"/><Relationship Id="rId170" Type="http://schemas.openxmlformats.org/officeDocument/2006/relationships/hyperlink" Target="https://doi.org/10.1007/978-3-319-65948-0_4" TargetMode="External"/><Relationship Id="rId191" Type="http://schemas.openxmlformats.org/officeDocument/2006/relationships/hyperlink" Target="https://doi.org/10.2298/TSCI220805022A" TargetMode="External"/><Relationship Id="rId107" Type="http://schemas.openxmlformats.org/officeDocument/2006/relationships/hyperlink" Target="https://doi.org/10.1145/3146389" TargetMode="External"/><Relationship Id="rId11" Type="http://schemas.openxmlformats.org/officeDocument/2006/relationships/hyperlink" Target="https://ceur-ws.org/Vol-2603/short13.pdf" TargetMode="External"/><Relationship Id="rId32" Type="http://schemas.openxmlformats.org/officeDocument/2006/relationships/hyperlink" Target="https://doi.org/10.1145/3555776.3577665" TargetMode="External"/><Relationship Id="rId53" Type="http://schemas.openxmlformats.org/officeDocument/2006/relationships/hyperlink" Target="https://hdl.handle.net/20.500.12571/9644" TargetMode="External"/><Relationship Id="rId74" Type="http://schemas.openxmlformats.org/officeDocument/2006/relationships/hyperlink" Target="https://hdl.handle.net/10125/107293" TargetMode="External"/><Relationship Id="rId128" Type="http://schemas.openxmlformats.org/officeDocument/2006/relationships/hyperlink" Target="https://doi.org/10.1016/j.artint.2022.103681" TargetMode="External"/><Relationship Id="rId149" Type="http://schemas.openxmlformats.org/officeDocument/2006/relationships/hyperlink" Target="https://ceur-ws.org/Vol-2289/paper20.pdf" TargetMode="External"/><Relationship Id="rId5" Type="http://schemas.openxmlformats.org/officeDocument/2006/relationships/hyperlink" Target="https://doi.org/10.3103/S0146411617080260" TargetMode="External"/><Relationship Id="rId95" Type="http://schemas.openxmlformats.org/officeDocument/2006/relationships/hyperlink" Target="https://doi.org/10.1109/RE.2019.00054." TargetMode="External"/><Relationship Id="rId160" Type="http://schemas.openxmlformats.org/officeDocument/2006/relationships/hyperlink" Target="https://elibrary.ru/efsfdl" TargetMode="External"/><Relationship Id="rId181" Type="http://schemas.openxmlformats.org/officeDocument/2006/relationships/hyperlink" Target="https://repositorio.ufba.br/handle/ri/36787" TargetMode="External"/><Relationship Id="rId22" Type="http://schemas.openxmlformats.org/officeDocument/2006/relationships/hyperlink" Target="https://www.elibrary.ru/gjzdhc" TargetMode="External"/><Relationship Id="rId43" Type="http://schemas.openxmlformats.org/officeDocument/2006/relationships/hyperlink" Target="https://doi.org/10.1016/j.sysarc.2019.02.018" TargetMode="External"/><Relationship Id="rId64" Type="http://schemas.openxmlformats.org/officeDocument/2006/relationships/hyperlink" Target="https://eprints.whiterose.ac.uk/191116/" TargetMode="External"/><Relationship Id="rId118" Type="http://schemas.openxmlformats.org/officeDocument/2006/relationships/hyperlink" Target="https://doi.org/10.1007/s10270-021-00873-2" TargetMode="External"/><Relationship Id="rId139" Type="http://schemas.openxmlformats.org/officeDocument/2006/relationships/hyperlink" Target="https://citeseerx.ist.psu.edu/document?repid=rep1&amp;type=pdf&amp;doi=819e400a1771d014a4006663c6b87a27f03aa05a" TargetMode="External"/><Relationship Id="rId85" Type="http://schemas.openxmlformats.org/officeDocument/2006/relationships/hyperlink" Target="https://doi.org/10.1007/s11033-021-06702-5" TargetMode="External"/><Relationship Id="rId150" Type="http://schemas.openxmlformats.org/officeDocument/2006/relationships/hyperlink" Target="https://www.researchgate.net/publication/317065837_Remote_Fault_Diagnosis_of_Robots_Using_a_Robotic_Black_Box" TargetMode="External"/><Relationship Id="rId171" Type="http://schemas.openxmlformats.org/officeDocument/2006/relationships/hyperlink" Target="https://doi.org/10.1109/SIMPAR.2016.7862379" TargetMode="External"/><Relationship Id="rId192" Type="http://schemas.openxmlformats.org/officeDocument/2006/relationships/hyperlink" Target="https://doi.org/10.1504/IJESDF.2022.123846" TargetMode="External"/><Relationship Id="rId12" Type="http://schemas.openxmlformats.org/officeDocument/2006/relationships/hyperlink" Target="https://doi.org/10.1016/j.eswa.2018.01.009" TargetMode="External"/><Relationship Id="rId33" Type="http://schemas.openxmlformats.org/officeDocument/2006/relationships/hyperlink" Target="https://www.elibrary.ru/yllufi" TargetMode="External"/><Relationship Id="rId108" Type="http://schemas.openxmlformats.org/officeDocument/2006/relationships/hyperlink" Target="https://doi.org/10.1109/TIE.2021.3070508" TargetMode="External"/><Relationship Id="rId129" Type="http://schemas.openxmlformats.org/officeDocument/2006/relationships/hyperlink" Target="https://doi.org/10.1145/3526071.3527513" TargetMode="External"/><Relationship Id="rId54" Type="http://schemas.openxmlformats.org/officeDocument/2006/relationships/hyperlink" Target="https://search.proquest.com/openview/30e1456e247f7738ae5128bf4e14323e/1?pq-origsite=gscholar&amp;cbl=18750" TargetMode="External"/><Relationship Id="rId75" Type="http://schemas.openxmlformats.org/officeDocument/2006/relationships/hyperlink" Target="https://doi.org/10.3390/ijms19030716" TargetMode="External"/><Relationship Id="rId96" Type="http://schemas.openxmlformats.org/officeDocument/2006/relationships/hyperlink" Target="https://doi.org/10.1109/SEAA.2016.41" TargetMode="External"/><Relationship Id="rId140" Type="http://schemas.openxmlformats.org/officeDocument/2006/relationships/hyperlink" Target="http://doi.org/10.1109/QRS-C.2016.44." TargetMode="External"/><Relationship Id="rId161" Type="http://schemas.openxmlformats.org/officeDocument/2006/relationships/hyperlink" Target="https://doi.org/10.48550/arXiv.2308.04161" TargetMode="External"/><Relationship Id="rId182" Type="http://schemas.openxmlformats.org/officeDocument/2006/relationships/hyperlink" Target="https://theses.hal.science/tel-02294752/" TargetMode="External"/><Relationship Id="rId6" Type="http://schemas.openxmlformats.org/officeDocument/2006/relationships/hyperlink" Target="https://doi.org/10.3103/S0146411617080272" TargetMode="External"/><Relationship Id="rId23" Type="http://schemas.openxmlformats.org/officeDocument/2006/relationships/hyperlink" Target="https://doi.org/10.3390/computers9010012" TargetMode="External"/><Relationship Id="rId119" Type="http://schemas.openxmlformats.org/officeDocument/2006/relationships/hyperlink" Target="https://doi.org/10.1007/978-3-030-95459-8_36" TargetMode="External"/><Relationship Id="rId44" Type="http://schemas.openxmlformats.org/officeDocument/2006/relationships/hyperlink" Target="https://doi.org/10.1007/s10514-015-9472-x" TargetMode="External"/><Relationship Id="rId65" Type="http://schemas.openxmlformats.org/officeDocument/2006/relationships/hyperlink" Target="https://gupea.ub.gu.se/handle/2077/68935" TargetMode="External"/><Relationship Id="rId86" Type="http://schemas.openxmlformats.org/officeDocument/2006/relationships/hyperlink" Target="https://doi.org/10.1109/DSN-W50199.2020.00031" TargetMode="External"/><Relationship Id="rId130" Type="http://schemas.openxmlformats.org/officeDocument/2006/relationships/hyperlink" Target="https://ceur-ws.org/Vol-1507/dx15paper23.pdf" TargetMode="External"/><Relationship Id="rId151" Type="http://schemas.openxmlformats.org/officeDocument/2006/relationships/hyperlink" Target="https://doi.org/10.1007/s00502-015-0304-7" TargetMode="External"/><Relationship Id="rId172" Type="http://schemas.openxmlformats.org/officeDocument/2006/relationships/hyperlink" Target="https://doi.org/10.1145/3417990.3421437" TargetMode="External"/><Relationship Id="rId193" Type="http://schemas.openxmlformats.org/officeDocument/2006/relationships/hyperlink" Target="http://dx.doi.org/10.2139/ssrn.4201541" TargetMode="External"/><Relationship Id="rId13" Type="http://schemas.openxmlformats.org/officeDocument/2006/relationships/hyperlink" Target="https://doi.org/10.1134/S1064230720020124" TargetMode="External"/><Relationship Id="rId109" Type="http://schemas.openxmlformats.org/officeDocument/2006/relationships/hyperlink" Target="https://doi.org/10.1145/3434073.3444657" TargetMode="External"/><Relationship Id="rId34" Type="http://schemas.openxmlformats.org/officeDocument/2006/relationships/hyperlink" Target="https://lucris.lub.lu.se/ws/portalfiles/portal/113738030/Thesis_Rasmus_Ros.pdf" TargetMode="External"/><Relationship Id="rId55" Type="http://schemas.openxmlformats.org/officeDocument/2006/relationships/hyperlink" Target="https://doi.org/10.1109/ETFA.2015.7301631." TargetMode="External"/><Relationship Id="rId76" Type="http://schemas.openxmlformats.org/officeDocument/2006/relationships/hyperlink" Target="https://doi.org/10.1109/IRC.2019.00059." TargetMode="External"/><Relationship Id="rId97" Type="http://schemas.openxmlformats.org/officeDocument/2006/relationships/hyperlink" Target="https://doi.org/10.1109/RoSE52553.2021.00011" TargetMode="External"/><Relationship Id="rId120" Type="http://schemas.openxmlformats.org/officeDocument/2006/relationships/hyperlink" Target="https://doi.org/10.1109/ICRA48506.2021.9561191" TargetMode="External"/><Relationship Id="rId141" Type="http://schemas.openxmlformats.org/officeDocument/2006/relationships/hyperlink" Target="http://hdl.lib.byu.edu/1877/etd12596" TargetMode="External"/><Relationship Id="rId7" Type="http://schemas.openxmlformats.org/officeDocument/2006/relationships/hyperlink" Target="https://doi.org/10.3390/s21227613" TargetMode="External"/><Relationship Id="rId162" Type="http://schemas.openxmlformats.org/officeDocument/2006/relationships/hyperlink" Target="https://doi.org/10.1145/3620665.3640425" TargetMode="External"/><Relationship Id="rId183" Type="http://schemas.openxmlformats.org/officeDocument/2006/relationships/hyperlink" Target="https://tsukuba.repo.nii.ac.jp/record/46993/files/DA08751.pdf" TargetMode="External"/><Relationship Id="rId2" Type="http://schemas.openxmlformats.org/officeDocument/2006/relationships/hyperlink" Target="http://dx.doi.org/10.26636/jtit.2019.131019" TargetMode="External"/><Relationship Id="rId29" Type="http://schemas.openxmlformats.org/officeDocument/2006/relationships/hyperlink" Target="https://doi.org/10.1145/3387940.3391474" TargetMode="External"/><Relationship Id="rId24" Type="http://schemas.openxmlformats.org/officeDocument/2006/relationships/hyperlink" Target="https://doi.org/10.1007/978-3-030-59959-1_11" TargetMode="External"/><Relationship Id="rId40" Type="http://schemas.openxmlformats.org/officeDocument/2006/relationships/hyperlink" Target="https://doi.org/10.1007/s12369-019-00534-x" TargetMode="External"/><Relationship Id="rId45" Type="http://schemas.openxmlformats.org/officeDocument/2006/relationships/hyperlink" Target="https://doi.org/10.1007/s10514-022-10076-3" TargetMode="External"/><Relationship Id="rId66" Type="http://schemas.openxmlformats.org/officeDocument/2006/relationships/hyperlink" Target="http://ceur-ws.org/Vol-2978/ds-paper97.pdf" TargetMode="External"/><Relationship Id="rId87" Type="http://schemas.openxmlformats.org/officeDocument/2006/relationships/hyperlink" Target="https://doi.org/10.1007/978-3-030-66494-7_8" TargetMode="External"/><Relationship Id="rId110" Type="http://schemas.openxmlformats.org/officeDocument/2006/relationships/hyperlink" Target="https://doi.org/10.3390/s17102243" TargetMode="External"/><Relationship Id="rId115" Type="http://schemas.openxmlformats.org/officeDocument/2006/relationships/hyperlink" Target="https://doi.org/10.1016/j.robot.2015.09.019" TargetMode="External"/><Relationship Id="rId131" Type="http://schemas.openxmlformats.org/officeDocument/2006/relationships/hyperlink" Target="https://www.ifaamas.org/Proceedings/aamas2021/pdfs/p1845.pdf" TargetMode="External"/><Relationship Id="rId136" Type="http://schemas.openxmlformats.org/officeDocument/2006/relationships/hyperlink" Target="http://doi.org/10.1109/IROS.2017.8202143." TargetMode="External"/><Relationship Id="rId157" Type="http://schemas.openxmlformats.org/officeDocument/2006/relationships/hyperlink" Target="https://doi.org/10.1007/s10115-014-0754-y" TargetMode="External"/><Relationship Id="rId178" Type="http://schemas.openxmlformats.org/officeDocument/2006/relationships/hyperlink" Target="https://theses.hal.science/tel-03135081/" TargetMode="External"/><Relationship Id="rId61" Type="http://schemas.openxmlformats.org/officeDocument/2006/relationships/hyperlink" Target="https://doi.org/10.1109/ICSA-C57050.2023.00038" TargetMode="External"/><Relationship Id="rId82" Type="http://schemas.openxmlformats.org/officeDocument/2006/relationships/hyperlink" Target="https://doi.org/10.1016/j.robot.2023.104379" TargetMode="External"/><Relationship Id="rId152" Type="http://schemas.openxmlformats.org/officeDocument/2006/relationships/hyperlink" Target="http://doi.org/10.1109/CEET1.2019.8711846." TargetMode="External"/><Relationship Id="rId173" Type="http://schemas.openxmlformats.org/officeDocument/2006/relationships/hyperlink" Target="http://dx.doi.org/10.18725/OPARU-48624" TargetMode="External"/><Relationship Id="rId194" Type="http://schemas.openxmlformats.org/officeDocument/2006/relationships/hyperlink" Target="https://doi.org/10.3390/electronics10222850" TargetMode="External"/><Relationship Id="rId199" Type="http://schemas.openxmlformats.org/officeDocument/2006/relationships/hyperlink" Target="https://doi.org/10.4271/2019-01-0459" TargetMode="External"/><Relationship Id="rId19" Type="http://schemas.openxmlformats.org/officeDocument/2006/relationships/hyperlink" Target="http://www.jos.org.cn/josen/article/abstract/6267" TargetMode="External"/><Relationship Id="rId14" Type="http://schemas.openxmlformats.org/officeDocument/2006/relationships/hyperlink" Target="https://www.elibrary.ru/ytyofd" TargetMode="External"/><Relationship Id="rId30" Type="http://schemas.openxmlformats.org/officeDocument/2006/relationships/hyperlink" Target="https://doi.org/10.1007/978-3-030-40914-2_13" TargetMode="External"/><Relationship Id="rId35" Type="http://schemas.openxmlformats.org/officeDocument/2006/relationships/hyperlink" Target="https://www.elibrary.ru/ypuydj" TargetMode="External"/><Relationship Id="rId56" Type="http://schemas.openxmlformats.org/officeDocument/2006/relationships/hyperlink" Target="https://search.proquest.com/openview/d0fca4c5bb9405be68643cdf5796eb96/1?pq-origsite=gscholar&amp;cbl=2026366&amp;diss=y" TargetMode="External"/><Relationship Id="rId77" Type="http://schemas.openxmlformats.org/officeDocument/2006/relationships/hyperlink" Target="https://doi.org/10.3390/molecules24020261" TargetMode="External"/><Relationship Id="rId100" Type="http://schemas.openxmlformats.org/officeDocument/2006/relationships/hyperlink" Target="https://doi.org/10.1109/RTSI.2016.7740548." TargetMode="External"/><Relationship Id="rId105" Type="http://schemas.openxmlformats.org/officeDocument/2006/relationships/hyperlink" Target="https://iris.unitn.it/retrieve/2885ae50-2d19-4f37-a74a-2d6bd0ee41e8/Online_PhD-Thesis_MartinaDeSanctis.pdf" TargetMode="External"/><Relationship Id="rId126" Type="http://schemas.openxmlformats.org/officeDocument/2006/relationships/hyperlink" Target="https://doi.org/10.48550/arXiv.2207.12583" TargetMode="External"/><Relationship Id="rId147" Type="http://schemas.openxmlformats.org/officeDocument/2006/relationships/hyperlink" Target="http://doi.org/10.1109/ICCMA51325.2020.9301494." TargetMode="External"/><Relationship Id="rId168" Type="http://schemas.openxmlformats.org/officeDocument/2006/relationships/hyperlink" Target="https://doi.org/10.1109/TSE.2017.2738640" TargetMode="External"/><Relationship Id="rId8" Type="http://schemas.openxmlformats.org/officeDocument/2006/relationships/hyperlink" Target="https://doi.org/10.3103/S0146411618080291" TargetMode="External"/><Relationship Id="rId51" Type="http://schemas.openxmlformats.org/officeDocument/2006/relationships/hyperlink" Target="https://www.researchgate.net/profile/Devaiah-Ulliyada-Arun/publication/362080649_Comparative_Evaluation_of_Error_Recovery_Strategies_for_Robust_Robot_Navigation/links/62d5dbbbbf4b98532233cfbf/Comparative-Evaluation-of-Error-Recovery-Strategies-for-Robust-Robot-Navigation.pdf" TargetMode="External"/><Relationship Id="rId72" Type="http://schemas.openxmlformats.org/officeDocument/2006/relationships/hyperlink" Target="https://arxiv.org/abs/2310.01039" TargetMode="External"/><Relationship Id="rId93" Type="http://schemas.openxmlformats.org/officeDocument/2006/relationships/hyperlink" Target="https://doi.org/10.1145/3355562" TargetMode="External"/><Relationship Id="rId98" Type="http://schemas.openxmlformats.org/officeDocument/2006/relationships/hyperlink" Target="https://doi.org/10.1109/NetSys.2017.7903952" TargetMode="External"/><Relationship Id="rId121" Type="http://schemas.openxmlformats.org/officeDocument/2006/relationships/hyperlink" Target="https://doi.org/10.1109/ICCAR.2015.7166000" TargetMode="External"/><Relationship Id="rId142" Type="http://schemas.openxmlformats.org/officeDocument/2006/relationships/hyperlink" Target="http://doi.org/10.1109/ROBIO.2014.7090340" TargetMode="External"/><Relationship Id="rId163" Type="http://schemas.openxmlformats.org/officeDocument/2006/relationships/hyperlink" Target="https://doi.org/10.1109/ICSME58846.2023.00030" TargetMode="External"/><Relationship Id="rId184" Type="http://schemas.openxmlformats.org/officeDocument/2006/relationships/hyperlink" Target="https://www.theses.fr/2020COAZ4000" TargetMode="External"/><Relationship Id="rId189" Type="http://schemas.openxmlformats.org/officeDocument/2006/relationships/hyperlink" Target="https://doi.org/10.1016/j.iswa.2023.200237" TargetMode="External"/><Relationship Id="rId3" Type="http://schemas.openxmlformats.org/officeDocument/2006/relationships/hyperlink" Target="https://doi.org/10.1145/3469440" TargetMode="External"/><Relationship Id="rId25" Type="http://schemas.openxmlformats.org/officeDocument/2006/relationships/hyperlink" Target="https://doi.org/10.1007/978-3-030-64430-7_1" TargetMode="External"/><Relationship Id="rId46" Type="http://schemas.openxmlformats.org/officeDocument/2006/relationships/hyperlink" Target="https://doi.org/10.1145/3387902.3392622" TargetMode="External"/><Relationship Id="rId67" Type="http://schemas.openxmlformats.org/officeDocument/2006/relationships/hyperlink" Target="https://ieeexplore-ieee-org.tudelft.idm.oclc.org/author/37090076519" TargetMode="External"/><Relationship Id="rId116" Type="http://schemas.openxmlformats.org/officeDocument/2006/relationships/hyperlink" Target="https://doi.org/10.1007/s10514-017-9688-z" TargetMode="External"/><Relationship Id="rId137" Type="http://schemas.openxmlformats.org/officeDocument/2006/relationships/hyperlink" Target="http://doi.org/10.1109/ICRA48506.2021.9560876" TargetMode="External"/><Relationship Id="rId158" Type="http://schemas.openxmlformats.org/officeDocument/2006/relationships/hyperlink" Target="https://hal.science/tel-01778171/document" TargetMode="External"/><Relationship Id="rId20" Type="http://schemas.openxmlformats.org/officeDocument/2006/relationships/hyperlink" Target="https://doi.org/10.3103/S014641161808031X" TargetMode="External"/><Relationship Id="rId41" Type="http://schemas.openxmlformats.org/officeDocument/2006/relationships/hyperlink" Target="https://doi.org/10.3390/s21041210" TargetMode="External"/><Relationship Id="rId62" Type="http://schemas.openxmlformats.org/officeDocument/2006/relationships/hyperlink" Target="https://doi.org/10.1109/SEAMS59076.2023.00031" TargetMode="External"/><Relationship Id="rId83" Type="http://schemas.openxmlformats.org/officeDocument/2006/relationships/hyperlink" Target="https://doi.org/10.1016/j.robot.2022.104301" TargetMode="External"/><Relationship Id="rId88" Type="http://schemas.openxmlformats.org/officeDocument/2006/relationships/hyperlink" Target="https://doi.org/10.1109/ICRA.2019.8793754." TargetMode="External"/><Relationship Id="rId111" Type="http://schemas.openxmlformats.org/officeDocument/2006/relationships/hyperlink" Target="https://doi.org/10.1007/s10115-014-0754-y" TargetMode="External"/><Relationship Id="rId132" Type="http://schemas.openxmlformats.org/officeDocument/2006/relationships/hyperlink" Target="https://doi.org/10.1145/2843966.2843974" TargetMode="External"/><Relationship Id="rId153" Type="http://schemas.openxmlformats.org/officeDocument/2006/relationships/hyperlink" Target="http://hdl.handle.net/2117/120457" TargetMode="External"/><Relationship Id="rId174" Type="http://schemas.openxmlformats.org/officeDocument/2006/relationships/hyperlink" Target="https://doi.org/10.1109/IRC52146.2021.00019" TargetMode="External"/><Relationship Id="rId179" Type="http://schemas.openxmlformats.org/officeDocument/2006/relationships/hyperlink" Target="https://tsukuba.repo.nii.ac.jp/record/46993/files/DA08751.pdf" TargetMode="External"/><Relationship Id="rId195" Type="http://schemas.openxmlformats.org/officeDocument/2006/relationships/hyperlink" Target="https://doi.org/10.3233/JIFS-220886" TargetMode="External"/><Relationship Id="rId190" Type="http://schemas.openxmlformats.org/officeDocument/2006/relationships/hyperlink" Target="https://doi.org/10.1109/SANER56733.2023.00113" TargetMode="External"/><Relationship Id="rId15" Type="http://schemas.openxmlformats.org/officeDocument/2006/relationships/hyperlink" Target="https://doi.org/10.3390/sym14102208" TargetMode="External"/><Relationship Id="rId36" Type="http://schemas.openxmlformats.org/officeDocument/2006/relationships/hyperlink" Target="https://doi.org/10.48550/arXiv.2201.11625" TargetMode="External"/><Relationship Id="rId57" Type="http://schemas.openxmlformats.org/officeDocument/2006/relationships/hyperlink" Target="https://doi.org/10.1016/j.infsof.2022.106866" TargetMode="External"/><Relationship Id="rId106" Type="http://schemas.openxmlformats.org/officeDocument/2006/relationships/hyperlink" Target="https://doi.org/10.1016/j.robot.2017.04.004" TargetMode="External"/><Relationship Id="rId127" Type="http://schemas.openxmlformats.org/officeDocument/2006/relationships/hyperlink" Target="https://doi.org/10.1016/j.ins.2022.08.029" TargetMode="External"/><Relationship Id="rId10" Type="http://schemas.openxmlformats.org/officeDocument/2006/relationships/hyperlink" Target="https://ceur-ws.org/Vol-2603/short8.pdf" TargetMode="External"/><Relationship Id="rId31" Type="http://schemas.openxmlformats.org/officeDocument/2006/relationships/hyperlink" Target="https://www.proquest.com/openview/c67842b50b097aa6410d753157b3cb3a/1?pq-origsite=gscholar&amp;cbl=18750&amp;diss=y" TargetMode="External"/><Relationship Id="rId52" Type="http://schemas.openxmlformats.org/officeDocument/2006/relationships/hyperlink" Target="https://doi.org/10.1016/j.jss.2019.02.021" TargetMode="External"/><Relationship Id="rId73" Type="http://schemas.openxmlformats.org/officeDocument/2006/relationships/hyperlink" Target="https://arxiv.org/abs/2312.10525" TargetMode="External"/><Relationship Id="rId78" Type="http://schemas.openxmlformats.org/officeDocument/2006/relationships/hyperlink" Target="https://doi.org/10.1002/ece3.8063" TargetMode="External"/><Relationship Id="rId94" Type="http://schemas.openxmlformats.org/officeDocument/2006/relationships/hyperlink" Target="https://doi.org/10.1007/s10664-022-10231-5" TargetMode="External"/><Relationship Id="rId99" Type="http://schemas.openxmlformats.org/officeDocument/2006/relationships/hyperlink" Target="https://doi.org/10.1007/978-3-319-68136-8_1" TargetMode="External"/><Relationship Id="rId101" Type="http://schemas.openxmlformats.org/officeDocument/2006/relationships/hyperlink" Target="https://doi.org/10.13052/jwe1540-9589.18131" TargetMode="External"/><Relationship Id="rId122" Type="http://schemas.openxmlformats.org/officeDocument/2006/relationships/hyperlink" Target="https://doi.org/10.1016/j.eswa.2017.03.058" TargetMode="External"/><Relationship Id="rId143" Type="http://schemas.openxmlformats.org/officeDocument/2006/relationships/hyperlink" Target="https://hdl.handle.net/1822/75537" TargetMode="External"/><Relationship Id="rId148" Type="http://schemas.openxmlformats.org/officeDocument/2006/relationships/hyperlink" Target="https://www.ehu.eus/documents/3444171/4484745/115.pdf" TargetMode="External"/><Relationship Id="rId164" Type="http://schemas.openxmlformats.org/officeDocument/2006/relationships/hyperlink" Target="https://doi.org/10.1109/IRC59093.2023.00042" TargetMode="External"/><Relationship Id="rId169" Type="http://schemas.openxmlformats.org/officeDocument/2006/relationships/hyperlink" Target="https://doi.org/10.1109/IRC.2018.00027" TargetMode="External"/><Relationship Id="rId185" Type="http://schemas.openxmlformats.org/officeDocument/2006/relationships/hyperlink" Target="https://doi.org/10.1007/s10207-021-00545-8" TargetMode="External"/><Relationship Id="rId4" Type="http://schemas.openxmlformats.org/officeDocument/2006/relationships/hyperlink" Target="https://doi.org/10.1016/j.infsof.2021.106551" TargetMode="External"/><Relationship Id="rId9" Type="http://schemas.openxmlformats.org/officeDocument/2006/relationships/hyperlink" Target="https://doi.org/10.1016/j.jss.2018.10.051" TargetMode="External"/><Relationship Id="rId180" Type="http://schemas.openxmlformats.org/officeDocument/2006/relationships/hyperlink" Target="https://dx.doi.org/10.2139/ssrn.4098743" TargetMode="External"/><Relationship Id="rId26" Type="http://schemas.openxmlformats.org/officeDocument/2006/relationships/hyperlink" Target="https://www.elibrary.ru/uilzpw" TargetMode="External"/><Relationship Id="rId47" Type="http://schemas.openxmlformats.org/officeDocument/2006/relationships/hyperlink" Target="https://doi.org/10.1109/DCOSS.2019.00038" TargetMode="External"/><Relationship Id="rId68" Type="http://schemas.openxmlformats.org/officeDocument/2006/relationships/hyperlink" Target="https://doi.org/10.1109/ASE56229.2023.00172" TargetMode="External"/><Relationship Id="rId89" Type="http://schemas.openxmlformats.org/officeDocument/2006/relationships/hyperlink" Target="https://scholar.googleusercontent.com/scholar?q=cache:o6RpWKcOrGEJ:scholar.google.com/&amp;hl=en&amp;as_sdt=2005&amp;sciodt=0,5" TargetMode="External"/><Relationship Id="rId112" Type="http://schemas.openxmlformats.org/officeDocument/2006/relationships/hyperlink" Target="https://doi.org/10.1080/0952813X.2017.1409278" TargetMode="External"/><Relationship Id="rId133" Type="http://schemas.openxmlformats.org/officeDocument/2006/relationships/hyperlink" Target="https://doi.org/10.4119/unibi/2932136" TargetMode="External"/><Relationship Id="rId154" Type="http://schemas.openxmlformats.org/officeDocument/2006/relationships/hyperlink" Target="https://www.ais.uni-bonn.de/robocup.de/2016/TDPs/Logistics/RoboCup_2016_Logistics_TDP_GRIPS.pdf" TargetMode="External"/><Relationship Id="rId175" Type="http://schemas.openxmlformats.org/officeDocument/2006/relationships/hyperlink" Target="https://urn.kb.se/resolve?urn=urn%3Anbn%3Ase%3Alnu%3Adiva-69136" TargetMode="External"/><Relationship Id="rId196" Type="http://schemas.openxmlformats.org/officeDocument/2006/relationships/hyperlink" Target="https://doi.org/10.1016/j.iot.2023.100886" TargetMode="External"/><Relationship Id="rId200" Type="http://schemas.openxmlformats.org/officeDocument/2006/relationships/hyperlink" Target="https://web.ics.purdue.edu/~rvoyles/Pubs/Praveen.DexterousHexrotor.WM2018.pdf" TargetMode="External"/><Relationship Id="rId16" Type="http://schemas.openxmlformats.org/officeDocument/2006/relationships/hyperlink" Target="https://doi.org/10.1145/2823345" TargetMode="External"/><Relationship Id="rId37" Type="http://schemas.openxmlformats.org/officeDocument/2006/relationships/hyperlink" Target="https://liu.diva-portal.org/smash/record.jsf?pid=diva2%3A1367625&amp;dswid=-7753" TargetMode="External"/><Relationship Id="rId58" Type="http://schemas.openxmlformats.org/officeDocument/2006/relationships/hyperlink" Target="https://doi.org/10.1109/SEAMS51251.2021.00018." TargetMode="External"/><Relationship Id="rId79" Type="http://schemas.openxmlformats.org/officeDocument/2006/relationships/hyperlink" Target="https://doi.org/10.1007/s10846-018-0967-5" TargetMode="External"/><Relationship Id="rId102" Type="http://schemas.openxmlformats.org/officeDocument/2006/relationships/hyperlink" Target="https://doi.org/10.1145/3019612.3019653" TargetMode="External"/><Relationship Id="rId123" Type="http://schemas.openxmlformats.org/officeDocument/2006/relationships/hyperlink" Target="https://doi.org/10.1109/IROS.2016.7759507" TargetMode="External"/><Relationship Id="rId144" Type="http://schemas.openxmlformats.org/officeDocument/2006/relationships/hyperlink" Target="https://doi.org/10.1142/S0219876221500559" TargetMode="External"/><Relationship Id="rId90" Type="http://schemas.openxmlformats.org/officeDocument/2006/relationships/hyperlink" Target="https://doi.org/10.1108/RIA-01-2024-0013" TargetMode="External"/><Relationship Id="rId165" Type="http://schemas.openxmlformats.org/officeDocument/2006/relationships/hyperlink" Target="https://urn.fi/URN:NBN:fi:aalto-202310156406" TargetMode="External"/><Relationship Id="rId186" Type="http://schemas.openxmlformats.org/officeDocument/2006/relationships/hyperlink" Target="https://doi.org/10.1088/1742-6596/1988/1/012036" TargetMode="External"/><Relationship Id="rId27" Type="http://schemas.openxmlformats.org/officeDocument/2006/relationships/hyperlink" Target="https://www.elibrary.ru/otviqv" TargetMode="External"/><Relationship Id="rId48" Type="http://schemas.openxmlformats.org/officeDocument/2006/relationships/hyperlink" Target="https://doi.org/10.1109/IROS.2015.7353731" TargetMode="External"/><Relationship Id="rId69" Type="http://schemas.openxmlformats.org/officeDocument/2006/relationships/hyperlink" Target="https://doi.org/10.1109/SEAMS59076.2023.00012" TargetMode="External"/><Relationship Id="rId113" Type="http://schemas.openxmlformats.org/officeDocument/2006/relationships/hyperlink" Target="https://doi.org/10.3390/s19184019" TargetMode="External"/><Relationship Id="rId134" Type="http://schemas.openxmlformats.org/officeDocument/2006/relationships/hyperlink" Target="https://hal.science/hal-01271568/" TargetMode="External"/><Relationship Id="rId80" Type="http://schemas.openxmlformats.org/officeDocument/2006/relationships/hyperlink" Target="https://doi.org/10.1007/s11033-020-05567-4" TargetMode="External"/><Relationship Id="rId155" Type="http://schemas.openxmlformats.org/officeDocument/2006/relationships/hyperlink" Target="https://digitalcommons.unl.edu/computerscidiss/96/" TargetMode="External"/><Relationship Id="rId176" Type="http://schemas.openxmlformats.org/officeDocument/2006/relationships/hyperlink" Target="https://doi.org/10.1016/j.ifacol.2016.07.765" TargetMode="External"/><Relationship Id="rId197" Type="http://schemas.openxmlformats.org/officeDocument/2006/relationships/hyperlink" Target="https://doi.org/10.1016/j.sysarc.2023.102931" TargetMode="External"/><Relationship Id="rId201" Type="http://schemas.openxmlformats.org/officeDocument/2006/relationships/hyperlink" Target="https://doi.org/10.1093/milmed/usad175" TargetMode="External"/><Relationship Id="rId17" Type="http://schemas.openxmlformats.org/officeDocument/2006/relationships/hyperlink" Target="https://doi.org/10.1109/ICPHYS.2019.8780193" TargetMode="External"/><Relationship Id="rId38" Type="http://schemas.openxmlformats.org/officeDocument/2006/relationships/hyperlink" Target="https://hdl.handle.net/10863/25140" TargetMode="External"/><Relationship Id="rId59" Type="http://schemas.openxmlformats.org/officeDocument/2006/relationships/hyperlink" Target="https://doi.org/10.1016/j.jss.2022.111538" TargetMode="External"/><Relationship Id="rId103" Type="http://schemas.openxmlformats.org/officeDocument/2006/relationships/hyperlink" Target="https://doi.org/10.1145/3019612.3019879" TargetMode="External"/><Relationship Id="rId124" Type="http://schemas.openxmlformats.org/officeDocument/2006/relationships/hyperlink" Target="https://doi.org/10.1109/TITS.2022.3208829" TargetMode="External"/><Relationship Id="rId70" Type="http://schemas.openxmlformats.org/officeDocument/2006/relationships/hyperlink" Target="https://doi.org/10.1007/978-3-031-60698-4_22" TargetMode="External"/><Relationship Id="rId91" Type="http://schemas.openxmlformats.org/officeDocument/2006/relationships/hyperlink" Target="https://theses.hal.science/tel-04524748/" TargetMode="External"/><Relationship Id="rId145" Type="http://schemas.openxmlformats.org/officeDocument/2006/relationships/hyperlink" Target="http://hdl.handle.net/1853/64758" TargetMode="External"/><Relationship Id="rId166" Type="http://schemas.openxmlformats.org/officeDocument/2006/relationships/hyperlink" Target="https://doi.org/10.1109/ACCESS.2024.3355205" TargetMode="External"/><Relationship Id="rId187" Type="http://schemas.openxmlformats.org/officeDocument/2006/relationships/hyperlink" Target="https://doi.org/10.3390/electronics10222850" TargetMode="External"/><Relationship Id="rId1" Type="http://schemas.openxmlformats.org/officeDocument/2006/relationships/hyperlink" Target="https://doi.org/10.1109/TSE.2019.2907595" TargetMode="External"/><Relationship Id="rId28" Type="http://schemas.openxmlformats.org/officeDocument/2006/relationships/hyperlink" Target="https://doi.org/10.1109/FAS-W.2019.00061" TargetMode="External"/><Relationship Id="rId49" Type="http://schemas.openxmlformats.org/officeDocument/2006/relationships/hyperlink" Target="https://api-depositonce.tu-berlin.de/server/api/core/bitstreams/d3df013c-d38e-4fa3-bd54-be1e0dd4e97c/content" TargetMode="External"/><Relationship Id="rId114" Type="http://schemas.openxmlformats.org/officeDocument/2006/relationships/hyperlink" Target="https://doi.org/10.1145/3193992.3193996" TargetMode="External"/><Relationship Id="rId60" Type="http://schemas.openxmlformats.org/officeDocument/2006/relationships/hyperlink" Target="https://inria.hal.science/hal-03461137" TargetMode="External"/><Relationship Id="rId81" Type="http://schemas.openxmlformats.org/officeDocument/2006/relationships/hyperlink" Target="https://doi.org/10.1109/IROS.2018.8594328." TargetMode="External"/><Relationship Id="rId135" Type="http://schemas.openxmlformats.org/officeDocument/2006/relationships/hyperlink" Target="http://www.banerjs.com/pdf/banerjs_aaai2019sss.pdf" TargetMode="External"/><Relationship Id="rId156" Type="http://schemas.openxmlformats.org/officeDocument/2006/relationships/hyperlink" Target="https://www.researchgate.net/profile/Jeremie-Guiochet/publication/247640080_State_of_the_Art_on_Dependability_of_Autonomous_Systems/links/5774cdb608ae1b18a7de4a71/State-of-the-Art-on-Dependability-of-Autonomous-Systems.pdf" TargetMode="External"/><Relationship Id="rId177" Type="http://schemas.openxmlformats.org/officeDocument/2006/relationships/hyperlink" Target="https://www.proquest.com/openview/7c8ac699698de70e3982af853cbdb929/1?casa_token=la3PYPhwWZMAAAAA:xDD6HIBI7l2Vs3sp-NcBrVhAdQYgvkzF3u6dd9-C55Piyf81WbnacuOtskAPLJLSnzGraOhswvA&amp;cbl=2026366&amp;diss=y&amp;pq-origsite=gscholar&amp;parentSessionId=iMFkH8Qd0UbETyjZilIBtRmVRfJxTB97xyrH%2FiIQf1E%3D" TargetMode="External"/><Relationship Id="rId198" Type="http://schemas.openxmlformats.org/officeDocument/2006/relationships/hyperlink" Target="https://doi.org/10.3390/electronics12194146" TargetMode="External"/><Relationship Id="rId202" Type="http://schemas.openxmlformats.org/officeDocument/2006/relationships/hyperlink" Target="https://www.cqvip.com/qk/90393x/201603/668063580.html" TargetMode="External"/><Relationship Id="rId18" Type="http://schemas.openxmlformats.org/officeDocument/2006/relationships/hyperlink" Target="https://doi.org/10.1109/BlackSeaCom.2019.8812826" TargetMode="External"/><Relationship Id="rId39" Type="http://schemas.openxmlformats.org/officeDocument/2006/relationships/hyperlink" Target="https://liu.diva-portal.org/smash/record.jsf?pid=diva2%3A1139231&amp;dswid=-3553" TargetMode="External"/><Relationship Id="rId50" Type="http://schemas.openxmlformats.org/officeDocument/2006/relationships/hyperlink" Target="https://doi.org/10.1177/1729881416663662" TargetMode="External"/><Relationship Id="rId104" Type="http://schemas.openxmlformats.org/officeDocument/2006/relationships/hyperlink" Target="https://nbn-resolving.org/urn:nbn:de:bsz:14-qucosa-237791" TargetMode="External"/><Relationship Id="rId125" Type="http://schemas.openxmlformats.org/officeDocument/2006/relationships/hyperlink" Target="https://doi.org/10.1016/j.ifacol.2016.07.613" TargetMode="External"/><Relationship Id="rId146" Type="http://schemas.openxmlformats.org/officeDocument/2006/relationships/hyperlink" Target="http://doi.org/10.1109/iCREATE.2014.6828347" TargetMode="External"/><Relationship Id="rId167" Type="http://schemas.openxmlformats.org/officeDocument/2006/relationships/hyperlink" Target="https://purl.stanford.edu/hs838yq9876" TargetMode="External"/><Relationship Id="rId188" Type="http://schemas.openxmlformats.org/officeDocument/2006/relationships/hyperlink" Target="https://doi.org/10.1109/ICRA46639.2022.9811701" TargetMode="External"/><Relationship Id="rId71" Type="http://schemas.openxmlformats.org/officeDocument/2006/relationships/hyperlink" Target="https://arxiv.org/abs/2404.11498" TargetMode="External"/><Relationship Id="rId92" Type="http://schemas.openxmlformats.org/officeDocument/2006/relationships/hyperlink" Target="http://doi.org/10.1109/SEAMS51251.2021.00015"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109/recosoc.2012.6322887" TargetMode="External"/><Relationship Id="rId299" Type="http://schemas.openxmlformats.org/officeDocument/2006/relationships/hyperlink" Target="https://www.rti.com/products/connext-dds-professional" TargetMode="External"/><Relationship Id="rId21" Type="http://schemas.openxmlformats.org/officeDocument/2006/relationships/hyperlink" Target="https://doi.org/10.1007/978-3-642-16785-0_17" TargetMode="External"/><Relationship Id="rId63" Type="http://schemas.openxmlformats.org/officeDocument/2006/relationships/hyperlink" Target="http://robotics.stanford.edu/~ang/papers/icraoss09-ROS.pdf" TargetMode="External"/><Relationship Id="rId159" Type="http://schemas.openxmlformats.org/officeDocument/2006/relationships/hyperlink" Target="https://doi.org/10.1007/978-3-319-66790-4_5" TargetMode="External"/><Relationship Id="rId170" Type="http://schemas.openxmlformats.org/officeDocument/2006/relationships/hyperlink" Target="https://doi.org/10.1109/iros.2018.8594067" TargetMode="External"/><Relationship Id="rId226" Type="http://schemas.openxmlformats.org/officeDocument/2006/relationships/hyperlink" Target="https://doi.org/10.1007/978-3-319-08338-4_25" TargetMode="External"/><Relationship Id="rId268" Type="http://schemas.openxmlformats.org/officeDocument/2006/relationships/hyperlink" Target="https://doi.org/10.1109/JIOT.2017.2703172" TargetMode="External"/><Relationship Id="rId32" Type="http://schemas.openxmlformats.org/officeDocument/2006/relationships/hyperlink" Target="https://doi.org/10.1007/978-3-642-16785-0_5" TargetMode="External"/><Relationship Id="rId74" Type="http://schemas.openxmlformats.org/officeDocument/2006/relationships/hyperlink" Target="https://doi.org/10.1145/582128.582152" TargetMode="External"/><Relationship Id="rId128" Type="http://schemas.openxmlformats.org/officeDocument/2006/relationships/hyperlink" Target="https://doi.org/10.1007/978-3-642-35813-5_1" TargetMode="External"/><Relationship Id="rId5" Type="http://schemas.openxmlformats.org/officeDocument/2006/relationships/hyperlink" Target="https://doi.org/10.1016/j.sysarc.2011.03.005" TargetMode="External"/><Relationship Id="rId181" Type="http://schemas.openxmlformats.org/officeDocument/2006/relationships/hyperlink" Target="https://doi.org/10.1109/iceccs.2009.44" TargetMode="External"/><Relationship Id="rId237" Type="http://schemas.openxmlformats.org/officeDocument/2006/relationships/hyperlink" Target="https://doi.org/10.1007/3540608052_67" TargetMode="External"/><Relationship Id="rId279" Type="http://schemas.openxmlformats.org/officeDocument/2006/relationships/hyperlink" Target="https://doi.org/10.1109/SP.2010.25" TargetMode="External"/><Relationship Id="rId43" Type="http://schemas.openxmlformats.org/officeDocument/2006/relationships/hyperlink" Target="https://www.hpi.uni-potsdam.de/giese/misc/publications/AAET05.pdf" TargetMode="External"/><Relationship Id="rId139" Type="http://schemas.openxmlformats.org/officeDocument/2006/relationships/hyperlink" Target="https://dl.acm.org/doi/abs/10.5555/231003" TargetMode="External"/><Relationship Id="rId290" Type="http://schemas.openxmlformats.org/officeDocument/2006/relationships/hyperlink" Target="https://opcfoundation.org/wp-content/uploads/2023/05/OPC-UA-Interoperability-For-Industrie4-and-IoT-EN.pdf" TargetMode="External"/><Relationship Id="rId85" Type="http://schemas.openxmlformats.org/officeDocument/2006/relationships/hyperlink" Target="https://doi.org/10.1007/BF01995674" TargetMode="External"/><Relationship Id="rId150" Type="http://schemas.openxmlformats.org/officeDocument/2006/relationships/hyperlink" Target="https://doi.org/10.1016/j.jss.2018.10.051" TargetMode="External"/><Relationship Id="rId192" Type="http://schemas.openxmlformats.org/officeDocument/2006/relationships/hyperlink" Target="https://doi.org/10.1177/027836499801700402" TargetMode="External"/><Relationship Id="rId206" Type="http://schemas.openxmlformats.org/officeDocument/2006/relationships/hyperlink" Target="https://doi.org/10.1109/ivs.2013.6629509" TargetMode="External"/><Relationship Id="rId248" Type="http://schemas.openxmlformats.org/officeDocument/2006/relationships/hyperlink" Target="https://doi.org/10.1109/ssrr.2013.6719377" TargetMode="External"/><Relationship Id="rId12" Type="http://schemas.openxmlformats.org/officeDocument/2006/relationships/hyperlink" Target="https://doi.org/10.1109/isola.2006.19" TargetMode="External"/><Relationship Id="rId108" Type="http://schemas.openxmlformats.org/officeDocument/2006/relationships/hyperlink" Target="https://doi.org/10.1002/rob.21439" TargetMode="External"/><Relationship Id="rId54" Type="http://schemas.openxmlformats.org/officeDocument/2006/relationships/hyperlink" Target="https://www.researchgate.net/profile/Daniel-Kubus/publication/228371987_MiRPA_Middleware_for_robotic_and_process_control_applications/links/00b49529ecdb633b4f000000/MiRPA-Middleware-for-robotic-and-process-control-applications.pdf" TargetMode="External"/><Relationship Id="rId75" Type="http://schemas.openxmlformats.org/officeDocument/2006/relationships/hyperlink" Target="https://doi.org/10.1145/2465449.2465462" TargetMode="External"/><Relationship Id="rId96" Type="http://schemas.openxmlformats.org/officeDocument/2006/relationships/hyperlink" Target="https://doi.org/10.1109/iros.2008.4650962" TargetMode="External"/><Relationship Id="rId140" Type="http://schemas.openxmlformats.org/officeDocument/2006/relationships/hyperlink" Target="https://doi.org/10.1145/1774088.1774180" TargetMode="External"/><Relationship Id="rId161" Type="http://schemas.openxmlformats.org/officeDocument/2006/relationships/hyperlink" Target="https://doi.org/10.1145/2786805.2786853" TargetMode="External"/><Relationship Id="rId182" Type="http://schemas.openxmlformats.org/officeDocument/2006/relationships/hyperlink" Target="https://doi.org/10.1007/11780519_2" TargetMode="External"/><Relationship Id="rId217" Type="http://schemas.openxmlformats.org/officeDocument/2006/relationships/hyperlink" Target="https://doi-org.tudelft.idm.oclc.org/10.7551/mitpress/1429.001.0001" TargetMode="External"/><Relationship Id="rId6" Type="http://schemas.openxmlformats.org/officeDocument/2006/relationships/hyperlink" Target="https://doi.org/10.1016/j.sysarc.2011.07.001" TargetMode="External"/><Relationship Id="rId238" Type="http://schemas.openxmlformats.org/officeDocument/2006/relationships/hyperlink" Target="http://www.cs.cmu.edu/~reids/papers/exec_isairas05.pdf" TargetMode="External"/><Relationship Id="rId259" Type="http://schemas.openxmlformats.org/officeDocument/2006/relationships/hyperlink" Target="https://doi.org/10.1145/3134600.3134640" TargetMode="External"/><Relationship Id="rId23" Type="http://schemas.openxmlformats.org/officeDocument/2006/relationships/hyperlink" Target="https://doi.org/10.1109/iros.2006.281759" TargetMode="External"/><Relationship Id="rId119" Type="http://schemas.openxmlformats.org/officeDocument/2006/relationships/hyperlink" Target="https://doi.org/10.1109/FOSE.2007.19" TargetMode="External"/><Relationship Id="rId270" Type="http://schemas.openxmlformats.org/officeDocument/2006/relationships/hyperlink" Target="https://doi.org/10.5772/intechopen.69796" TargetMode="External"/><Relationship Id="rId291" Type="http://schemas.openxmlformats.org/officeDocument/2006/relationships/hyperlink" Target="https://doi.org/10.1109/ETFA.2018.8502479" TargetMode="External"/><Relationship Id="rId44" Type="http://schemas.openxmlformats.org/officeDocument/2006/relationships/hyperlink" Target="https://www.researchgate.net/profile/Bernhard-Bauer-4/publication/220939878_Towards_a_Model-Driven_Software_Engineering_Methodology_for_Organic_Computing_Systems/links/0912f51470ee87966f000000/Towards-a-Model-Driven-Software-Engineering-Methodology-for-Organic-Computing-Systems.pdf" TargetMode="External"/><Relationship Id="rId65" Type="http://schemas.openxmlformats.org/officeDocument/2006/relationships/hyperlink" Target="https://doi.org/10.1007/978-3-642-34614-9_1" TargetMode="External"/><Relationship Id="rId86" Type="http://schemas.openxmlformats.org/officeDocument/2006/relationships/hyperlink" Target="https://doi.org/10.1109/simpar.2016.7862375" TargetMode="External"/><Relationship Id="rId130" Type="http://schemas.openxmlformats.org/officeDocument/2006/relationships/hyperlink" Target="http://gazebosim.org/" TargetMode="External"/><Relationship Id="rId151" Type="http://schemas.openxmlformats.org/officeDocument/2006/relationships/hyperlink" Target="https://doi.org/10.1017/CBO9781139583923" TargetMode="External"/><Relationship Id="rId172" Type="http://schemas.openxmlformats.org/officeDocument/2006/relationships/hyperlink" Target="https://doi.org/10.1109/MDSO.2008.19" TargetMode="External"/><Relationship Id="rId193" Type="http://schemas.openxmlformats.org/officeDocument/2006/relationships/hyperlink" Target="https://www.researchgate.net/publication/228751643_Using_Qualitative_and_Model-Based_Reasoning_for_Sensor_Validation_of_Autonomous_Mobile_Robots" TargetMode="External"/><Relationship Id="rId207" Type="http://schemas.openxmlformats.org/officeDocument/2006/relationships/hyperlink" Target="https://doi.org/10.1109/iros.1999.812832" TargetMode="External"/><Relationship Id="rId228" Type="http://schemas.openxmlformats.org/officeDocument/2006/relationships/hyperlink" Target="https://doi.org/10.1109/humanoids.2011.6100855" TargetMode="External"/><Relationship Id="rId249" Type="http://schemas.openxmlformats.org/officeDocument/2006/relationships/hyperlink" Target="https://doi.org/10.1016/S0094-114X(99)00006-3" TargetMode="External"/><Relationship Id="rId13" Type="http://schemas.openxmlformats.org/officeDocument/2006/relationships/hyperlink" Target="https://doi.org/10.1145/1016720.1016724" TargetMode="External"/><Relationship Id="rId109" Type="http://schemas.openxmlformats.org/officeDocument/2006/relationships/hyperlink" Target="https://doi.org/10.1109/robot.2004.1302508" TargetMode="External"/><Relationship Id="rId260" Type="http://schemas.openxmlformats.org/officeDocument/2006/relationships/hyperlink" Target="https://doi.org/10.1145/2966986.2967050" TargetMode="External"/><Relationship Id="rId281" Type="http://schemas.openxmlformats.org/officeDocument/2006/relationships/hyperlink" Target="https://doi.org/10.1145/2976749.2978388" TargetMode="External"/><Relationship Id="rId34" Type="http://schemas.openxmlformats.org/officeDocument/2006/relationships/hyperlink" Target="https://doi.org/10.1007/978-3-319-11900-7_26" TargetMode="External"/><Relationship Id="rId55" Type="http://schemas.openxmlformats.org/officeDocument/2006/relationships/hyperlink" Target="http://orocos.org/" TargetMode="External"/><Relationship Id="rId76" Type="http://schemas.openxmlformats.org/officeDocument/2006/relationships/hyperlink" Target="https://doi.org/10.1007/978-3-540-89437-7_1" TargetMode="External"/><Relationship Id="rId97" Type="http://schemas.openxmlformats.org/officeDocument/2006/relationships/hyperlink" Target="https://doi.org/10.1038/scientificamerican0501-34" TargetMode="External"/><Relationship Id="rId120" Type="http://schemas.openxmlformats.org/officeDocument/2006/relationships/hyperlink" Target="https://doi.org/10.1145/1370018.1370038" TargetMode="External"/><Relationship Id="rId141" Type="http://schemas.openxmlformats.org/officeDocument/2006/relationships/hyperlink" Target="https://dl.acm.org/doi/10.5555/861416" TargetMode="External"/><Relationship Id="rId7" Type="http://schemas.openxmlformats.org/officeDocument/2006/relationships/hyperlink" Target="https://doi.org/10.1016/j.sysarc.2010.04.009" TargetMode="External"/><Relationship Id="rId162" Type="http://schemas.openxmlformats.org/officeDocument/2006/relationships/hyperlink" Target="https://doi.org/10.1145/2897053.2897069" TargetMode="External"/><Relationship Id="rId183" Type="http://schemas.openxmlformats.org/officeDocument/2006/relationships/hyperlink" Target="https://doi.org/10.1007/978-3-540-89076-8_18" TargetMode="External"/><Relationship Id="rId218" Type="http://schemas.openxmlformats.org/officeDocument/2006/relationships/hyperlink" Target="https://doi.org/10.1145/1830483.1830505" TargetMode="External"/><Relationship Id="rId239" Type="http://schemas.openxmlformats.org/officeDocument/2006/relationships/hyperlink" Target="https://dl.acm.org/doi/10.1145/1380584.1380585" TargetMode="External"/><Relationship Id="rId250" Type="http://schemas.openxmlformats.org/officeDocument/2006/relationships/hyperlink" Target="https://doi.org/10.20965/jrm.1990.p0308" TargetMode="External"/><Relationship Id="rId271" Type="http://schemas.openxmlformats.org/officeDocument/2006/relationships/hyperlink" Target="https://doi.org/10.3390/app8050676" TargetMode="External"/><Relationship Id="rId292" Type="http://schemas.openxmlformats.org/officeDocument/2006/relationships/hyperlink" Target="https://opcfoundation.org/developer-tools/specifications-unified-architecture/part-14-pubsub" TargetMode="External"/><Relationship Id="rId24" Type="http://schemas.openxmlformats.org/officeDocument/2006/relationships/hyperlink" Target="https://doi.org/10.1109/TRA.2002.802930" TargetMode="External"/><Relationship Id="rId45" Type="http://schemas.openxmlformats.org/officeDocument/2006/relationships/hyperlink" Target="https://ei.uni-paderborn.de/fileadmin/elektrotechnik/fg/lea/Forschung/Publikationen/2007/07HNI-Frank-Giese-Romaus-Mueller-Oberthuer.pdf" TargetMode="External"/><Relationship Id="rId66" Type="http://schemas.openxmlformats.org/officeDocument/2006/relationships/hyperlink" Target="https://doi.org/10.1109/seams.2012.6224396" TargetMode="External"/><Relationship Id="rId87" Type="http://schemas.openxmlformats.org/officeDocument/2006/relationships/hyperlink" Target="https://doi.org/10.1145/2187671.2187677" TargetMode="External"/><Relationship Id="rId110" Type="http://schemas.openxmlformats.org/officeDocument/2006/relationships/hyperlink" Target="https://doi.org/10.1007/s11334-013-0214-y" TargetMode="External"/><Relationship Id="rId131" Type="http://schemas.openxmlformats.org/officeDocument/2006/relationships/hyperlink" Target="https://doi.org/10.1007/10720246_1" TargetMode="External"/><Relationship Id="rId152" Type="http://schemas.openxmlformats.org/officeDocument/2006/relationships/hyperlink" Target="https://doi.org/10.1145/3236024.3236046" TargetMode="External"/><Relationship Id="rId173" Type="http://schemas.openxmlformats.org/officeDocument/2006/relationships/hyperlink" Target="https://doi.org/10.1016/j.mechatronics.2010.10.006" TargetMode="External"/><Relationship Id="rId194" Type="http://schemas.openxmlformats.org/officeDocument/2006/relationships/hyperlink" Target="https://www.researchgate.net/profile/Horst-Haussecker/publication/2375562_Distributed_Monitoring_of_Hybrid_Systems_A_model-directed_approach/links/0a85e532884ac52f96000000/Distributed-Monitoring-of-Hybrid-Systems-A-model-directed-approach.pdf" TargetMode="External"/><Relationship Id="rId208" Type="http://schemas.openxmlformats.org/officeDocument/2006/relationships/hyperlink" Target="https://doi.org/10.1109/70.833191" TargetMode="External"/><Relationship Id="rId229" Type="http://schemas.openxmlformats.org/officeDocument/2006/relationships/hyperlink" Target="https://doi.org/10.1109/iros.2010.5650630" TargetMode="External"/><Relationship Id="rId240" Type="http://schemas.openxmlformats.org/officeDocument/2006/relationships/hyperlink" Target="https://doi.org/10.1007/978-3-642-38484-4_31" TargetMode="External"/><Relationship Id="rId261" Type="http://schemas.openxmlformats.org/officeDocument/2006/relationships/hyperlink" Target="https://dl.acm.org/doi/abs/10.5555/3241094.3241165" TargetMode="External"/><Relationship Id="rId14" Type="http://schemas.openxmlformats.org/officeDocument/2006/relationships/hyperlink" Target="https://doi.org/10.1109/tsmc.1981.4308708" TargetMode="External"/><Relationship Id="rId35" Type="http://schemas.openxmlformats.org/officeDocument/2006/relationships/hyperlink" Target="https://doi.org/10.1016/j.robot.2012.02.004" TargetMode="External"/><Relationship Id="rId56" Type="http://schemas.openxmlformats.org/officeDocument/2006/relationships/hyperlink" Target="http://www.osaca.org/" TargetMode="External"/><Relationship Id="rId77" Type="http://schemas.openxmlformats.org/officeDocument/2006/relationships/hyperlink" Target="https://doi.org/10.1109/icse.2012.6227081" TargetMode="External"/><Relationship Id="rId100" Type="http://schemas.openxmlformats.org/officeDocument/2006/relationships/hyperlink" Target="https://www.diva-portal.org/smash/record.jsf?pid=diva2%3A159661&amp;dswid=7690" TargetMode="External"/><Relationship Id="rId282" Type="http://schemas.openxmlformats.org/officeDocument/2006/relationships/hyperlink" Target="https://doi.org/10.1109/icra.2019.8793764" TargetMode="External"/><Relationship Id="rId8" Type="http://schemas.openxmlformats.org/officeDocument/2006/relationships/hyperlink" Target="https://doi.org/10.1007/978-94-010-9587-7" TargetMode="External"/><Relationship Id="rId98" Type="http://schemas.openxmlformats.org/officeDocument/2006/relationships/hyperlink" Target="https://www.researchgate.net/publication/221393453_A_Spatial_Logic_based_on_Regions_and_Connection" TargetMode="External"/><Relationship Id="rId121" Type="http://schemas.openxmlformats.org/officeDocument/2006/relationships/hyperlink" Target="https://doi.org/10.1109/mcsa.2000.895380" TargetMode="External"/><Relationship Id="rId142" Type="http://schemas.openxmlformats.org/officeDocument/2006/relationships/hyperlink" Target="https://doi.org/10.1145/3194133.3194146" TargetMode="External"/><Relationship Id="rId163" Type="http://schemas.openxmlformats.org/officeDocument/2006/relationships/hyperlink" Target="https://doi.org/10.1002/spe.1074" TargetMode="External"/><Relationship Id="rId184" Type="http://schemas.openxmlformats.org/officeDocument/2006/relationships/hyperlink" Target="https://doi.org/10.1109/iros.2010.5651095" TargetMode="External"/><Relationship Id="rId219" Type="http://schemas.openxmlformats.org/officeDocument/2006/relationships/hyperlink" Target="https://doi.org/10.1613/jair.613" TargetMode="External"/><Relationship Id="rId230" Type="http://schemas.openxmlformats.org/officeDocument/2006/relationships/hyperlink" Target="https://doi.org/10.1109/icse.2015.269" TargetMode="External"/><Relationship Id="rId251" Type="http://schemas.openxmlformats.org/officeDocument/2006/relationships/hyperlink" Target="https://doi.org/10.1109/coase.2005.1506801" TargetMode="External"/><Relationship Id="rId25" Type="http://schemas.openxmlformats.org/officeDocument/2006/relationships/hyperlink" Target="https://doi.org/10.1007/978-3-642-16785-0_11" TargetMode="External"/><Relationship Id="rId46" Type="http://schemas.openxmlformats.org/officeDocument/2006/relationships/hyperlink" Target="https://www.rob.cs.tu-bs.de/node/1179" TargetMode="External"/><Relationship Id="rId67" Type="http://schemas.openxmlformats.org/officeDocument/2006/relationships/hyperlink" Target="https://doi.org/10.1016/j.jss.2012.02.060" TargetMode="External"/><Relationship Id="rId272" Type="http://schemas.openxmlformats.org/officeDocument/2006/relationships/hyperlink" Target="https://doi.org/10.1145/1653662.1653666" TargetMode="External"/><Relationship Id="rId293" Type="http://schemas.openxmlformats.org/officeDocument/2006/relationships/hyperlink" Target="https://doi.org/10.1126/scirobotics.abm6074" TargetMode="External"/><Relationship Id="rId88" Type="http://schemas.openxmlformats.org/officeDocument/2006/relationships/hyperlink" Target="https://doi.org/10.14778/1920841.1920874" TargetMode="External"/><Relationship Id="rId111" Type="http://schemas.openxmlformats.org/officeDocument/2006/relationships/hyperlink" Target="https://doi.org/10.1017/S0263574710000457" TargetMode="External"/><Relationship Id="rId132" Type="http://schemas.openxmlformats.org/officeDocument/2006/relationships/hyperlink" Target="http://web.mit.edu/richh/www/writings/hilliard99-ifip.pdf" TargetMode="External"/><Relationship Id="rId153" Type="http://schemas.openxmlformats.org/officeDocument/2006/relationships/hyperlink" Target="https://doi.org/10.1145/505145.505149" TargetMode="External"/><Relationship Id="rId174" Type="http://schemas.openxmlformats.org/officeDocument/2006/relationships/hyperlink" Target="http://www.tara.tcd.ie/handle/2262/30726" TargetMode="External"/><Relationship Id="rId195" Type="http://schemas.openxmlformats.org/officeDocument/2006/relationships/hyperlink" Target="https://staff.fnwi.uva.nl/a.visser/activities/robocup/RoboCup2013/Symposium/TeamDescriptionPapers/Rescue/Champ2013_Iran_AriAnA_TDP.pdf" TargetMode="External"/><Relationship Id="rId209" Type="http://schemas.openxmlformats.org/officeDocument/2006/relationships/hyperlink" Target="https://doi.org/10.1109/MCS.2018.2876958" TargetMode="External"/><Relationship Id="rId220" Type="http://schemas.openxmlformats.org/officeDocument/2006/relationships/hyperlink" Target="https://doi.org/10.1162/EVCO_a_00172" TargetMode="External"/><Relationship Id="rId241" Type="http://schemas.openxmlformats.org/officeDocument/2006/relationships/hyperlink" Target="https://aisberg.unibg.it/handle/10446/86153" TargetMode="External"/><Relationship Id="rId15" Type="http://schemas.openxmlformats.org/officeDocument/2006/relationships/hyperlink" Target="https://doi.org/10.1177/027836498800700401" TargetMode="External"/><Relationship Id="rId36" Type="http://schemas.openxmlformats.org/officeDocument/2006/relationships/hyperlink" Target="https://doi.org/10.1109/ROBOT.2005.1570129" TargetMode="External"/><Relationship Id="rId57" Type="http://schemas.openxmlformats.org/officeDocument/2006/relationships/hyperlink" Target="http://human-competitive.org/" TargetMode="External"/><Relationship Id="rId262" Type="http://schemas.openxmlformats.org/officeDocument/2006/relationships/hyperlink" Target="https://doi.org/10.1109/robot.2003.1242021" TargetMode="External"/><Relationship Id="rId283" Type="http://schemas.openxmlformats.org/officeDocument/2006/relationships/hyperlink" Target="https://doi.org/10.1145/2593069.2593095" TargetMode="External"/><Relationship Id="rId78" Type="http://schemas.openxmlformats.org/officeDocument/2006/relationships/hyperlink" Target="https://doi.org/10.1109/MS.2014.82" TargetMode="External"/><Relationship Id="rId99" Type="http://schemas.openxmlformats.org/officeDocument/2006/relationships/hyperlink" Target="https://content.iospress.com/articles/journal-of-intelligent-and-fuzzy-systems/ifs00220" TargetMode="External"/><Relationship Id="rId101" Type="http://schemas.openxmlformats.org/officeDocument/2006/relationships/hyperlink" Target="https://www.researchgate.net/publication/269465047_Towards_a_Logic-Based_Framework_for_Analyzing_Stream_Reasoning" TargetMode="External"/><Relationship Id="rId122" Type="http://schemas.openxmlformats.org/officeDocument/2006/relationships/hyperlink" Target="https://doi.org/10.1145/635508.605407" TargetMode="External"/><Relationship Id="rId143" Type="http://schemas.openxmlformats.org/officeDocument/2006/relationships/hyperlink" Target="https://doi.org/10.1145/2804337.2804339" TargetMode="External"/><Relationship Id="rId164" Type="http://schemas.openxmlformats.org/officeDocument/2006/relationships/hyperlink" Target="https://doi.org/10.1109/seams.2019.00013" TargetMode="External"/><Relationship Id="rId185" Type="http://schemas.openxmlformats.org/officeDocument/2006/relationships/hyperlink" Target="https://doi.org/10.1109/iros.2007.4399092" TargetMode="External"/><Relationship Id="rId9" Type="http://schemas.openxmlformats.org/officeDocument/2006/relationships/hyperlink" Target="https://doi.org/10.1007/978-3-642-16785-0_7" TargetMode="External"/><Relationship Id="rId210" Type="http://schemas.openxmlformats.org/officeDocument/2006/relationships/hyperlink" Target="https://doi.org/10.1186/s40064-016-3573-7" TargetMode="External"/><Relationship Id="rId26" Type="http://schemas.openxmlformats.org/officeDocument/2006/relationships/hyperlink" Target="https://doi.org/10.1109/icarcv.2004.1468823" TargetMode="External"/><Relationship Id="rId231" Type="http://schemas.openxmlformats.org/officeDocument/2006/relationships/hyperlink" Target="https://doi.org/10.1109/icra.2014.6907806" TargetMode="External"/><Relationship Id="rId252" Type="http://schemas.openxmlformats.org/officeDocument/2006/relationships/hyperlink" Target="https://doi.org/10.3390/s18051643" TargetMode="External"/><Relationship Id="rId273" Type="http://schemas.openxmlformats.org/officeDocument/2006/relationships/hyperlink" Target="https://doi.org/10.1109/iccad.2014.7001350" TargetMode="External"/><Relationship Id="rId294" Type="http://schemas.openxmlformats.org/officeDocument/2006/relationships/hyperlink" Target="https://doi.org/10.1109/ETFA45728.2021.9613729" TargetMode="External"/><Relationship Id="rId47" Type="http://schemas.openxmlformats.org/officeDocument/2006/relationships/hyperlink" Target="https://www.tib.eu/de/suchen/id/BLCP:CN060074433/A-versatile-modular-robot-control-architecture?cHash=79f6958fae6a1b0fb045b04634ea8ce5" TargetMode="External"/><Relationship Id="rId68" Type="http://schemas.openxmlformats.org/officeDocument/2006/relationships/hyperlink" Target="https://doi.org/10.1145/2593929.2593944" TargetMode="External"/><Relationship Id="rId89" Type="http://schemas.openxmlformats.org/officeDocument/2006/relationships/hyperlink" Target="https://doi.org/10.1609/aaai.v29i1.9408" TargetMode="External"/><Relationship Id="rId112" Type="http://schemas.openxmlformats.org/officeDocument/2006/relationships/hyperlink" Target="https://doi.org/10.1109/icar.2005.1507502" TargetMode="External"/><Relationship Id="rId133" Type="http://schemas.openxmlformats.org/officeDocument/2006/relationships/hyperlink" Target="https://doi.org/10.1145/1380584.1380585" TargetMode="External"/><Relationship Id="rId154" Type="http://schemas.openxmlformats.org/officeDocument/2006/relationships/hyperlink" Target="https://doi.org/10.1109/seams.2019.00015" TargetMode="External"/><Relationship Id="rId175" Type="http://schemas.openxmlformats.org/officeDocument/2006/relationships/hyperlink" Target="https://doi.org/10.48550/arXiv.1405.3694" TargetMode="External"/><Relationship Id="rId196" Type="http://schemas.openxmlformats.org/officeDocument/2006/relationships/hyperlink" Target="https://www.researchgate.net/profile/Craig-Knoblock/publication/2278933_PDDL_-_The_Planning_Domain_Definition_Language/links/0912f50c0c99385e19000000/PDDL-The-Planning-Domain-Definition-Language.pdf" TargetMode="External"/><Relationship Id="rId200" Type="http://schemas.openxmlformats.org/officeDocument/2006/relationships/hyperlink" Target="https://www.human-competitive.org/" TargetMode="External"/><Relationship Id="rId16" Type="http://schemas.openxmlformats.org/officeDocument/2006/relationships/hyperlink" Target="https://doi.org/10.1109/70.163779" TargetMode="External"/><Relationship Id="rId221" Type="http://schemas.openxmlformats.org/officeDocument/2006/relationships/hyperlink" Target="https://doi.org/10.1145/3205651.3208269" TargetMode="External"/><Relationship Id="rId242" Type="http://schemas.openxmlformats.org/officeDocument/2006/relationships/hyperlink" Target="https://doi.org/10.1109/iros.2013.6696915" TargetMode="External"/><Relationship Id="rId263" Type="http://schemas.openxmlformats.org/officeDocument/2006/relationships/hyperlink" Target="https://doi.org/10.1016/j.robot.2016.09.017" TargetMode="External"/><Relationship Id="rId284" Type="http://schemas.openxmlformats.org/officeDocument/2006/relationships/hyperlink" Target="https://doi.org/10.1109/iccad.2015.7372606" TargetMode="External"/><Relationship Id="rId37" Type="http://schemas.openxmlformats.org/officeDocument/2006/relationships/hyperlink" Target="https://doi.org/10.1109/IROS.2016.7759509" TargetMode="External"/><Relationship Id="rId58" Type="http://schemas.openxmlformats.org/officeDocument/2006/relationships/hyperlink" Target="https://doi.org/10.5772/5763" TargetMode="External"/><Relationship Id="rId79" Type="http://schemas.openxmlformats.org/officeDocument/2006/relationships/hyperlink" Target="https://doi.org/10.4230/DagSemProc.08031.2" TargetMode="External"/><Relationship Id="rId102" Type="http://schemas.openxmlformats.org/officeDocument/2006/relationships/hyperlink" Target="https://doi.org/10.1007/978-3-642-10601-9_6" TargetMode="External"/><Relationship Id="rId123" Type="http://schemas.openxmlformats.org/officeDocument/2006/relationships/hyperlink" Target="https://doi.org/10.1109/TMECH.2004.842245" TargetMode="External"/><Relationship Id="rId144" Type="http://schemas.openxmlformats.org/officeDocument/2006/relationships/hyperlink" Target="https://doi.org/10.1109/icsa.2017.16" TargetMode="External"/><Relationship Id="rId90" Type="http://schemas.openxmlformats.org/officeDocument/2006/relationships/hyperlink" Target="https://doi.org/10.3390/s110807568" TargetMode="External"/><Relationship Id="rId165" Type="http://schemas.openxmlformats.org/officeDocument/2006/relationships/hyperlink" Target="https://doi.org/10.1016/j.imavis.2018.05.004" TargetMode="External"/><Relationship Id="rId186" Type="http://schemas.openxmlformats.org/officeDocument/2006/relationships/hyperlink" Target="https://doi.org/10.1109/ssrr.2011.6106777" TargetMode="External"/><Relationship Id="rId211" Type="http://schemas.openxmlformats.org/officeDocument/2006/relationships/hyperlink" Target="https://doi.org/10.1109/robot.2009.5152851" TargetMode="External"/><Relationship Id="rId232" Type="http://schemas.openxmlformats.org/officeDocument/2006/relationships/hyperlink" Target="https://apps.dtic.mil/sti/pdfs/ADA235785.pdf" TargetMode="External"/><Relationship Id="rId253" Type="http://schemas.openxmlformats.org/officeDocument/2006/relationships/hyperlink" Target="https://doi.org/10.1109/dsn.2016.43" TargetMode="External"/><Relationship Id="rId274" Type="http://schemas.openxmlformats.org/officeDocument/2006/relationships/hyperlink" Target="https://doi.org/10.1145/2542049" TargetMode="External"/><Relationship Id="rId295" Type="http://schemas.openxmlformats.org/officeDocument/2006/relationships/hyperlink" Target="https://doi.org/10.1109/ETFA45728.2021.9613728" TargetMode="External"/><Relationship Id="rId27" Type="http://schemas.openxmlformats.org/officeDocument/2006/relationships/hyperlink" Target="https://doi.org/10.1007/978-3-642-16785-0_13" TargetMode="External"/><Relationship Id="rId48" Type="http://schemas.openxmlformats.org/officeDocument/2006/relationships/hyperlink" Target="https://www.eurobuch.com/buch/isbn/9783802783050.html" TargetMode="External"/><Relationship Id="rId69" Type="http://schemas.openxmlformats.org/officeDocument/2006/relationships/hyperlink" Target="https://doi.org/10.1145/1809049.1809078" TargetMode="External"/><Relationship Id="rId113" Type="http://schemas.openxmlformats.org/officeDocument/2006/relationships/hyperlink" Target="https://doi.org/10.1109/32.637390" TargetMode="External"/><Relationship Id="rId134" Type="http://schemas.openxmlformats.org/officeDocument/2006/relationships/hyperlink" Target="https://doi.org/10.1007/978-3-540-72522-0_6" TargetMode="External"/><Relationship Id="rId80" Type="http://schemas.openxmlformats.org/officeDocument/2006/relationships/hyperlink" Target="https://doi.org/10.1007/978-3-642-33666-9_5" TargetMode="External"/><Relationship Id="rId155" Type="http://schemas.openxmlformats.org/officeDocument/2006/relationships/hyperlink" Target="https://doi.org/10.1016/j.jss.2010.01.049" TargetMode="External"/><Relationship Id="rId176" Type="http://schemas.openxmlformats.org/officeDocument/2006/relationships/hyperlink" Target="https://doi.org/10.1007/978-3-540-68642-2_23" TargetMode="External"/><Relationship Id="rId197" Type="http://schemas.openxmlformats.org/officeDocument/2006/relationships/hyperlink" Target="https://sourceforge.net/projects/pdd4j/" TargetMode="External"/><Relationship Id="rId201" Type="http://schemas.openxmlformats.org/officeDocument/2006/relationships/hyperlink" Target="https://people.csail.mit.edu/brooks/papers/real-robots.pdf" TargetMode="External"/><Relationship Id="rId222" Type="http://schemas.openxmlformats.org/officeDocument/2006/relationships/hyperlink" Target="https://doi.org/10.1109/seams.2019.00017" TargetMode="External"/><Relationship Id="rId243" Type="http://schemas.openxmlformats.org/officeDocument/2006/relationships/hyperlink" Target="https://doi.org/10.1016/j.mechatronics.2013.11.006" TargetMode="External"/><Relationship Id="rId264" Type="http://schemas.openxmlformats.org/officeDocument/2006/relationships/hyperlink" Target="https://doi.org/10.1145/3061639.3062241" TargetMode="External"/><Relationship Id="rId285" Type="http://schemas.openxmlformats.org/officeDocument/2006/relationships/hyperlink" Target="https://doi.org/10.1109/TDSC.2015.2427841" TargetMode="External"/><Relationship Id="rId17" Type="http://schemas.openxmlformats.org/officeDocument/2006/relationships/hyperlink" Target="https://doi.org/10.1109/robot.2003.1242062" TargetMode="External"/><Relationship Id="rId38" Type="http://schemas.openxmlformats.org/officeDocument/2006/relationships/hyperlink" Target="https://doi.org/10.1007/978-3-642-17319-6_31" TargetMode="External"/><Relationship Id="rId59" Type="http://schemas.openxmlformats.org/officeDocument/2006/relationships/hyperlink" Target="https://www.actapress.com/PaperInfo.aspx?PaperID=23004&amp;reason=500" TargetMode="External"/><Relationship Id="rId103" Type="http://schemas.openxmlformats.org/officeDocument/2006/relationships/hyperlink" Target="https://www.w3.org/Submission/2004/SUBM-OWL-S-20041122/" TargetMode="External"/><Relationship Id="rId124" Type="http://schemas.openxmlformats.org/officeDocument/2006/relationships/hyperlink" Target="https://doi.org/10.1007/s00165-016-0360-8" TargetMode="External"/><Relationship Id="rId70" Type="http://schemas.openxmlformats.org/officeDocument/2006/relationships/hyperlink" Target="https://doi.org/10.1109/MS.2006.61" TargetMode="External"/><Relationship Id="rId91" Type="http://schemas.openxmlformats.org/officeDocument/2006/relationships/hyperlink" Target="https://doi.org/10.1016/j.websem.2012.05.003" TargetMode="External"/><Relationship Id="rId145" Type="http://schemas.openxmlformats.org/officeDocument/2006/relationships/hyperlink" Target="https://doi.org/10.1016/j.jss.2019.02.055" TargetMode="External"/><Relationship Id="rId166" Type="http://schemas.openxmlformats.org/officeDocument/2006/relationships/hyperlink" Target="https://doi.org/10.1109/wf-iot.2016.7845513" TargetMode="External"/><Relationship Id="rId187" Type="http://schemas.openxmlformats.org/officeDocument/2006/relationships/hyperlink" Target="https://doi.org/10.1109/cdc.2001.980203" TargetMode="External"/><Relationship Id="rId1" Type="http://schemas.openxmlformats.org/officeDocument/2006/relationships/hyperlink" Target="https://doi.org/10.1016/j.jss.2016.08.039" TargetMode="External"/><Relationship Id="rId212" Type="http://schemas.openxmlformats.org/officeDocument/2006/relationships/hyperlink" Target="https://doi.org/10.1109/icra.2014.6907757" TargetMode="External"/><Relationship Id="rId233" Type="http://schemas.openxmlformats.org/officeDocument/2006/relationships/hyperlink" Target="https://aisberg.unibg.it/retrieve/e40f7b84-1ab5-afca-e053-6605fe0aeaf2/EclipseIT2011.pdf" TargetMode="External"/><Relationship Id="rId254" Type="http://schemas.openxmlformats.org/officeDocument/2006/relationships/hyperlink" Target="https://doi.org/10.1007/978-3-319-75632-5_5" TargetMode="External"/><Relationship Id="rId28" Type="http://schemas.openxmlformats.org/officeDocument/2006/relationships/hyperlink" Target="https://doi.org/10.4304/jcp.2.10.18-27" TargetMode="External"/><Relationship Id="rId49" Type="http://schemas.openxmlformats.org/officeDocument/2006/relationships/hyperlink" Target="https://www.shaker.de/de/content/catalogue/index.asp?lang=de&amp;ID=8&amp;ISBN=978-3-8322-2893-4&amp;search=yes" TargetMode="External"/><Relationship Id="rId114" Type="http://schemas.openxmlformats.org/officeDocument/2006/relationships/hyperlink" Target="https://doi.org/10.1145/2362336.2362349" TargetMode="External"/><Relationship Id="rId275" Type="http://schemas.openxmlformats.org/officeDocument/2006/relationships/hyperlink" Target="https://doi.org/10.1007/s10703-017-0275-x" TargetMode="External"/><Relationship Id="rId296" Type="http://schemas.openxmlformats.org/officeDocument/2006/relationships/hyperlink" Target="https://doi.org/10.1109/IC3I44769.2018.9007292" TargetMode="External"/><Relationship Id="rId60" Type="http://schemas.openxmlformats.org/officeDocument/2006/relationships/hyperlink" Target="https://abcm.org.br/symposium-series/SSM_Vol2/antigos/Section_III_Robotics/SSM2_I_24.pdf" TargetMode="External"/><Relationship Id="rId81" Type="http://schemas.openxmlformats.org/officeDocument/2006/relationships/hyperlink" Target="https://doi.org/10.1145/2025113.2025147" TargetMode="External"/><Relationship Id="rId135" Type="http://schemas.openxmlformats.org/officeDocument/2006/relationships/hyperlink" Target="https://doi.org/10.1007/978-3-642-22110-1_47" TargetMode="External"/><Relationship Id="rId156" Type="http://schemas.openxmlformats.org/officeDocument/2006/relationships/hyperlink" Target="https://doi.org/10.1007/978-3-319-02444-8_2" TargetMode="External"/><Relationship Id="rId177" Type="http://schemas.openxmlformats.org/officeDocument/2006/relationships/hyperlink" Target="https://doi.org/10.1145/1107548.1107615" TargetMode="External"/><Relationship Id="rId198" Type="http://schemas.openxmlformats.org/officeDocument/2006/relationships/hyperlink" Target="https://citeseerx.ist.psu.edu/document?repid=rep1&amp;type=pdf&amp;doi=5f277ad6aff683be07bed616897a159464354333" TargetMode="External"/><Relationship Id="rId202" Type="http://schemas.openxmlformats.org/officeDocument/2006/relationships/hyperlink" Target="https://proceedings.neurips.cc/paper_files/paper/2010/file/abea47ba24142ed16b7d8fbf2c740e0d-Paper.pdf" TargetMode="External"/><Relationship Id="rId223" Type="http://schemas.openxmlformats.org/officeDocument/2006/relationships/hyperlink" Target="https://doi.org/10.1109/MM.2015.133" TargetMode="External"/><Relationship Id="rId244" Type="http://schemas.openxmlformats.org/officeDocument/2006/relationships/hyperlink" Target="https://doi.org/10.1109/iros.2005.1545523" TargetMode="External"/><Relationship Id="rId18" Type="http://schemas.openxmlformats.org/officeDocument/2006/relationships/hyperlink" Target="https://doi.org/10.1109/ROBOT.2004.1302546" TargetMode="External"/><Relationship Id="rId39" Type="http://schemas.openxmlformats.org/officeDocument/2006/relationships/hyperlink" Target="https://doi.org/10.1109/etfa.2015.7301403" TargetMode="External"/><Relationship Id="rId265" Type="http://schemas.openxmlformats.org/officeDocument/2006/relationships/hyperlink" Target="https://doi.org/10.1023/A:1008954632763" TargetMode="External"/><Relationship Id="rId286" Type="http://schemas.openxmlformats.org/officeDocument/2006/relationships/hyperlink" Target="https://doi.org/10.1145/2843940" TargetMode="External"/><Relationship Id="rId50" Type="http://schemas.openxmlformats.org/officeDocument/2006/relationships/hyperlink" Target="https://orca-robotics.sourceforge.net/" TargetMode="External"/><Relationship Id="rId104" Type="http://schemas.openxmlformats.org/officeDocument/2006/relationships/hyperlink" Target="https://www.iaeng.org/publication/IMECS2012/IMECS2012_pp603-607.pdf" TargetMode="External"/><Relationship Id="rId125" Type="http://schemas.openxmlformats.org/officeDocument/2006/relationships/hyperlink" Target="https://core.ac.uk/download/pdf/62905126.pdf" TargetMode="External"/><Relationship Id="rId146" Type="http://schemas.openxmlformats.org/officeDocument/2006/relationships/hyperlink" Target="https://doi.org/10.1016/j.scico.2015.12.006" TargetMode="External"/><Relationship Id="rId167" Type="http://schemas.openxmlformats.org/officeDocument/2006/relationships/hyperlink" Target="https://doi.org/10.1109/irc.2019.00018" TargetMode="External"/><Relationship Id="rId188" Type="http://schemas.openxmlformats.org/officeDocument/2006/relationships/hyperlink" Target="https://doi.org/10.1016/0004-3702(87)90062-2" TargetMode="External"/><Relationship Id="rId71" Type="http://schemas.openxmlformats.org/officeDocument/2006/relationships/hyperlink" Target="https://doi.org/10.1007/978-3-642-02161-9_3" TargetMode="External"/><Relationship Id="rId92" Type="http://schemas.openxmlformats.org/officeDocument/2006/relationships/hyperlink" Target="https://doi.org/10.1007/978-3-540-30581-1_5" TargetMode="External"/><Relationship Id="rId213" Type="http://schemas.openxmlformats.org/officeDocument/2006/relationships/hyperlink" Target="https://doi.org/10.1109/vtcfall.2018.8690819" TargetMode="External"/><Relationship Id="rId234" Type="http://schemas.openxmlformats.org/officeDocument/2006/relationships/hyperlink" Target="https://doi.org/10.1145/2362536.2362548" TargetMode="External"/><Relationship Id="rId2" Type="http://schemas.openxmlformats.org/officeDocument/2006/relationships/hyperlink" Target="https://doi.org/10.1109/icse.1998.671114" TargetMode="External"/><Relationship Id="rId29" Type="http://schemas.openxmlformats.org/officeDocument/2006/relationships/hyperlink" Target="https://doi.org/10.1049/ip-cdt:20045088" TargetMode="External"/><Relationship Id="rId255" Type="http://schemas.openxmlformats.org/officeDocument/2006/relationships/hyperlink" Target="https://dl.acm.org/doi/abs/10.5555/3154768.3154769" TargetMode="External"/><Relationship Id="rId276" Type="http://schemas.openxmlformats.org/officeDocument/2006/relationships/hyperlink" Target="https://doi.org/10.1109/SP.2017.20" TargetMode="External"/><Relationship Id="rId297" Type="http://schemas.openxmlformats.org/officeDocument/2006/relationships/hyperlink" Target="https://doi.org/10.1145/1402521.1402526" TargetMode="External"/><Relationship Id="rId40" Type="http://schemas.openxmlformats.org/officeDocument/2006/relationships/hyperlink" Target="https://doi.org/10.1109/12.57058" TargetMode="External"/><Relationship Id="rId115" Type="http://schemas.openxmlformats.org/officeDocument/2006/relationships/hyperlink" Target="https://doi.org/10.1109/iros.2013.6696840" TargetMode="External"/><Relationship Id="rId136" Type="http://schemas.openxmlformats.org/officeDocument/2006/relationships/hyperlink" Target="https://dl.acm.org/doi/10.5555/2615731.2617416" TargetMode="External"/><Relationship Id="rId157" Type="http://schemas.openxmlformats.org/officeDocument/2006/relationships/hyperlink" Target="https://doi.org/10.1109/iros.2014.6942756" TargetMode="External"/><Relationship Id="rId178" Type="http://schemas.openxmlformats.org/officeDocument/2006/relationships/hyperlink" Target="https://doi.org/10.1007/3-540-32370-8_37" TargetMode="External"/><Relationship Id="rId61" Type="http://schemas.openxmlformats.org/officeDocument/2006/relationships/hyperlink" Target="https://www.amazon.com/Design-Patterns-Elements-Reusable-Object-Oriented/dp/0201633612" TargetMode="External"/><Relationship Id="rId82" Type="http://schemas.openxmlformats.org/officeDocument/2006/relationships/hyperlink" Target="https://doi.org/10.1016/j.infsof.2015.10.001" TargetMode="External"/><Relationship Id="rId199" Type="http://schemas.openxmlformats.org/officeDocument/2006/relationships/hyperlink" Target="https://kilthub.cmu.edu/articles/Monocular_Visual_Odometry_using_a_Planar_Road_Model_to_Solve_Scale_Ambiguity/6555626/files/12037856.pdf" TargetMode="External"/><Relationship Id="rId203" Type="http://schemas.openxmlformats.org/officeDocument/2006/relationships/hyperlink" Target="https://www.academia.edu/download/25396037/0262287196chap43.pdf" TargetMode="External"/><Relationship Id="rId19" Type="http://schemas.openxmlformats.org/officeDocument/2006/relationships/hyperlink" Target="https://doi.org/10.1007/978-3-642-16785-0_18" TargetMode="External"/><Relationship Id="rId224" Type="http://schemas.openxmlformats.org/officeDocument/2006/relationships/hyperlink" Target="https://doi.org/10.1109/TITS.2008.2011697" TargetMode="External"/><Relationship Id="rId245" Type="http://schemas.openxmlformats.org/officeDocument/2006/relationships/hyperlink" Target="https://doi.org/10.1109/robot.2010.5509539" TargetMode="External"/><Relationship Id="rId266" Type="http://schemas.openxmlformats.org/officeDocument/2006/relationships/hyperlink" Target="https://doi.org/10.1016/j.robot.2017.10.006" TargetMode="External"/><Relationship Id="rId287" Type="http://schemas.openxmlformats.org/officeDocument/2006/relationships/hyperlink" Target="https://doi.org/10.1145/2744769.2747920" TargetMode="External"/><Relationship Id="rId30" Type="http://schemas.openxmlformats.org/officeDocument/2006/relationships/hyperlink" Target="https://doi.org/10.1002/j.1538-7305.1970.tb01770.x" TargetMode="External"/><Relationship Id="rId105" Type="http://schemas.openxmlformats.org/officeDocument/2006/relationships/hyperlink" Target="https://www.diva-portal.org/smash/record.jsf?pid=diva2%3A214200&amp;dswid=4727" TargetMode="External"/><Relationship Id="rId126" Type="http://schemas.openxmlformats.org/officeDocument/2006/relationships/hyperlink" Target="https://doi.org/10.1007/978-3-319-65831-5_1" TargetMode="External"/><Relationship Id="rId147" Type="http://schemas.openxmlformats.org/officeDocument/2006/relationships/hyperlink" Target="https://doi.org/10.1109/itng.2014.107" TargetMode="External"/><Relationship Id="rId168" Type="http://schemas.openxmlformats.org/officeDocument/2006/relationships/hyperlink" Target="https://doi.org/10.1145/1370018.1370020" TargetMode="External"/><Relationship Id="rId51" Type="http://schemas.openxmlformats.org/officeDocument/2006/relationships/hyperlink" Target="http://playerstage.sourceforge.net/" TargetMode="External"/><Relationship Id="rId72" Type="http://schemas.openxmlformats.org/officeDocument/2006/relationships/hyperlink" Target="https://doi.org/10.1007/978-3-319-23727-5_4" TargetMode="External"/><Relationship Id="rId93" Type="http://schemas.openxmlformats.org/officeDocument/2006/relationships/hyperlink" Target="https://doi.org/10.1504/IJWGS.2005.007545" TargetMode="External"/><Relationship Id="rId189" Type="http://schemas.openxmlformats.org/officeDocument/2006/relationships/hyperlink" Target="https://doi.org/10.1109/MIS.2003.1200725" TargetMode="External"/><Relationship Id="rId3" Type="http://schemas.openxmlformats.org/officeDocument/2006/relationships/hyperlink" Target="https://doi.org/10.1109/MC.2004.175" TargetMode="External"/><Relationship Id="rId214" Type="http://schemas.openxmlformats.org/officeDocument/2006/relationships/hyperlink" Target="https://doi.org/10.1007/978-3-319-32552-1_76" TargetMode="External"/><Relationship Id="rId235" Type="http://schemas.openxmlformats.org/officeDocument/2006/relationships/hyperlink" Target="https://doi.org/10.1109/icra.2014.6906588" TargetMode="External"/><Relationship Id="rId256" Type="http://schemas.openxmlformats.org/officeDocument/2006/relationships/hyperlink" Target="https://doi.org/10.1145/3133956.3134020" TargetMode="External"/><Relationship Id="rId277" Type="http://schemas.openxmlformats.org/officeDocument/2006/relationships/hyperlink" Target="https://doi.org/10.1016/j.robot.2017.09.018" TargetMode="External"/><Relationship Id="rId298" Type="http://schemas.openxmlformats.org/officeDocument/2006/relationships/hyperlink" Target="http://cppmicroservices.org/" TargetMode="External"/><Relationship Id="rId116" Type="http://schemas.openxmlformats.org/officeDocument/2006/relationships/hyperlink" Target="https://doi.org/10.1109/ssrr.2012.6523874" TargetMode="External"/><Relationship Id="rId137" Type="http://schemas.openxmlformats.org/officeDocument/2006/relationships/hyperlink" Target="http://wiki.ros.org/move_base" TargetMode="External"/><Relationship Id="rId158" Type="http://schemas.openxmlformats.org/officeDocument/2006/relationships/hyperlink" Target="https://doi.org/10.1145/2491411.2491414" TargetMode="External"/><Relationship Id="rId20" Type="http://schemas.openxmlformats.org/officeDocument/2006/relationships/hyperlink" Target="https://doi.org/10.1109/iros.2005.1545582" TargetMode="External"/><Relationship Id="rId41" Type="http://schemas.openxmlformats.org/officeDocument/2006/relationships/hyperlink" Target="https://dl.acm.org/doi/abs/10.5555/524721" TargetMode="External"/><Relationship Id="rId62" Type="http://schemas.openxmlformats.org/officeDocument/2006/relationships/hyperlink" Target="https://doi.org/10.1115/DETC2008-49881" TargetMode="External"/><Relationship Id="rId83" Type="http://schemas.openxmlformats.org/officeDocument/2006/relationships/hyperlink" Target="https://doi.org/10.1145/1882291.1882296" TargetMode="External"/><Relationship Id="rId179" Type="http://schemas.openxmlformats.org/officeDocument/2006/relationships/hyperlink" Target="https://www.diva-portal.org/smash/record.jsf?dswid=4727&amp;pid=diva2%3A214200" TargetMode="External"/><Relationship Id="rId190" Type="http://schemas.openxmlformats.org/officeDocument/2006/relationships/hyperlink" Target="https://doi.org/10.1016/S0004-3702(96)00047-1" TargetMode="External"/><Relationship Id="rId204" Type="http://schemas.openxmlformats.org/officeDocument/2006/relationships/hyperlink" Target="http://hdl.handle.net/1721.1/42301" TargetMode="External"/><Relationship Id="rId225" Type="http://schemas.openxmlformats.org/officeDocument/2006/relationships/hyperlink" Target="https://doi.org/10.1109/iccv.2009.5459469" TargetMode="External"/><Relationship Id="rId246" Type="http://schemas.openxmlformats.org/officeDocument/2006/relationships/hyperlink" Target="https://doi.org/10.1109/iros.2014.6942765" TargetMode="External"/><Relationship Id="rId267" Type="http://schemas.openxmlformats.org/officeDocument/2006/relationships/hyperlink" Target="https://doi.org/10.1016/j.robot.2013.05.008" TargetMode="External"/><Relationship Id="rId288" Type="http://schemas.openxmlformats.org/officeDocument/2006/relationships/hyperlink" Target="https://doi.org/10.1109/TCAD.2016.2523937" TargetMode="External"/><Relationship Id="rId106" Type="http://schemas.openxmlformats.org/officeDocument/2006/relationships/hyperlink" Target="https://cdn.aaai.org/AAAI/1996/AAAI96-180.pdf" TargetMode="External"/><Relationship Id="rId127" Type="http://schemas.openxmlformats.org/officeDocument/2006/relationships/hyperlink" Target="https://doi.org/10.1007/s10515-018-0234-9" TargetMode="External"/><Relationship Id="rId10" Type="http://schemas.openxmlformats.org/officeDocument/2006/relationships/hyperlink" Target="https://doi.org/10.1109/MC.2003.1160055" TargetMode="External"/><Relationship Id="rId31" Type="http://schemas.openxmlformats.org/officeDocument/2006/relationships/hyperlink" Target="https://doi.org/10.1007/978-3-642-16785-0_6" TargetMode="External"/><Relationship Id="rId52" Type="http://schemas.openxmlformats.org/officeDocument/2006/relationships/hyperlink" Target="http://claraty.jpl.nasa.gov/" TargetMode="External"/><Relationship Id="rId73" Type="http://schemas.openxmlformats.org/officeDocument/2006/relationships/hyperlink" Target="https://doi.org/10.1007/978-3-642-04425-0_36" TargetMode="External"/><Relationship Id="rId94" Type="http://schemas.openxmlformats.org/officeDocument/2006/relationships/hyperlink" Target="https://doi.org/10.1109/robot.2005.1570327" TargetMode="External"/><Relationship Id="rId148" Type="http://schemas.openxmlformats.org/officeDocument/2006/relationships/hyperlink" Target="https://doi.org/10.1109/seams.2009.5069083" TargetMode="External"/><Relationship Id="rId169" Type="http://schemas.openxmlformats.org/officeDocument/2006/relationships/hyperlink" Target="https://doi.org/10.1145/1858996.1859092" TargetMode="External"/><Relationship Id="rId4" Type="http://schemas.openxmlformats.org/officeDocument/2006/relationships/hyperlink" Target="https://doi.org/10.1016/j.sysarc.2008.07.001" TargetMode="External"/><Relationship Id="rId180" Type="http://schemas.openxmlformats.org/officeDocument/2006/relationships/hyperlink" Target="https://doi.org/10.1109/TRO.2012.2228135" TargetMode="External"/><Relationship Id="rId215" Type="http://schemas.openxmlformats.org/officeDocument/2006/relationships/hyperlink" Target="https://doi.org/10.1109/ase.2011.6100127" TargetMode="External"/><Relationship Id="rId236" Type="http://schemas.openxmlformats.org/officeDocument/2006/relationships/hyperlink" Target="https://doi.org/10.1109/aero.1997.574422" TargetMode="External"/><Relationship Id="rId257" Type="http://schemas.openxmlformats.org/officeDocument/2006/relationships/hyperlink" Target="https://doi.org/10.48550/arXiv.1504.04339" TargetMode="External"/><Relationship Id="rId278" Type="http://schemas.openxmlformats.org/officeDocument/2006/relationships/hyperlink" Target="https://doi.org/10.1109/ROMAN.2010.5654677" TargetMode="External"/><Relationship Id="rId42" Type="http://schemas.openxmlformats.org/officeDocument/2006/relationships/hyperlink" Target="https://www.researchgate.net/publication/221436256_Towards_a_Methodology_for_Engineering_Self-Organising_Emergent_Systems" TargetMode="External"/><Relationship Id="rId84" Type="http://schemas.openxmlformats.org/officeDocument/2006/relationships/hyperlink" Target="https://doi.org/10.1007/978-3-642-35813-5_11" TargetMode="External"/><Relationship Id="rId138" Type="http://schemas.openxmlformats.org/officeDocument/2006/relationships/hyperlink" Target="https://citeseerx.ist.psu.edu/document?repid=rep1&amp;type=pdf&amp;doi=7f8b8255ee8fb30bd5ef7a6a446858d25ecc7868" TargetMode="External"/><Relationship Id="rId191" Type="http://schemas.openxmlformats.org/officeDocument/2006/relationships/hyperlink" Target="https://doi.org/10.1016/S0004-3702(98)00068-X" TargetMode="External"/><Relationship Id="rId205" Type="http://schemas.openxmlformats.org/officeDocument/2006/relationships/hyperlink" Target="https://www.cs.toronto.edu/~hinton/absps/reluICML.pdf" TargetMode="External"/><Relationship Id="rId247" Type="http://schemas.openxmlformats.org/officeDocument/2006/relationships/hyperlink" Target="https://doi.org/10.1109/ssrr.2010.5981569" TargetMode="External"/><Relationship Id="rId107" Type="http://schemas.openxmlformats.org/officeDocument/2006/relationships/hyperlink" Target="https://doi.org/10.1023/A:1018985923441" TargetMode="External"/><Relationship Id="rId289" Type="http://schemas.openxmlformats.org/officeDocument/2006/relationships/hyperlink" Target="https://doi.org/10.1007/978-3-030-63193-2_10" TargetMode="External"/><Relationship Id="rId11" Type="http://schemas.openxmlformats.org/officeDocument/2006/relationships/hyperlink" Target="https://doi.org/10.1201/9781420009354" TargetMode="External"/><Relationship Id="rId53" Type="http://schemas.openxmlformats.org/officeDocument/2006/relationships/hyperlink" Target="http://marie.sourceforge.net/" TargetMode="External"/><Relationship Id="rId149" Type="http://schemas.openxmlformats.org/officeDocument/2006/relationships/hyperlink" Target="https://doi.org/10.1184/R1/6602945.v1" TargetMode="External"/><Relationship Id="rId95" Type="http://schemas.openxmlformats.org/officeDocument/2006/relationships/hyperlink" Target="https://doi.org/10.1016/j.robot.2008.06.006" TargetMode="External"/><Relationship Id="rId160" Type="http://schemas.openxmlformats.org/officeDocument/2006/relationships/hyperlink" Target="https://doi.org/10.1007/978-3-319-95582-7_24" TargetMode="External"/><Relationship Id="rId216" Type="http://schemas.openxmlformats.org/officeDocument/2006/relationships/hyperlink" Target="https://doi.org/10.1007/3-540-64957-3_63" TargetMode="External"/><Relationship Id="rId258" Type="http://schemas.openxmlformats.org/officeDocument/2006/relationships/hyperlink" Target="https://doi.org/10.23919/date.2017.7927154" TargetMode="External"/><Relationship Id="rId22" Type="http://schemas.openxmlformats.org/officeDocument/2006/relationships/hyperlink" Target="https://doi.org/10.1007/0-306-48738-1_8" TargetMode="External"/><Relationship Id="rId64" Type="http://schemas.openxmlformats.org/officeDocument/2006/relationships/hyperlink" Target="https://doi.org/10.1109/jproc.2012.2189792" TargetMode="External"/><Relationship Id="rId118" Type="http://schemas.openxmlformats.org/officeDocument/2006/relationships/hyperlink" Target="https://doi.org/10.1109/70.681242" TargetMode="External"/><Relationship Id="rId171" Type="http://schemas.openxmlformats.org/officeDocument/2006/relationships/hyperlink" Target="https://doi.org/10.1002/spe.2116" TargetMode="External"/><Relationship Id="rId227" Type="http://schemas.openxmlformats.org/officeDocument/2006/relationships/hyperlink" Target="https://doi.org/10.1109/JIOT.2019.2907707" TargetMode="External"/><Relationship Id="rId269" Type="http://schemas.openxmlformats.org/officeDocument/2006/relationships/hyperlink" Target="https://doi.org/10.48550/arXiv.1806.06681" TargetMode="External"/><Relationship Id="rId33" Type="http://schemas.openxmlformats.org/officeDocument/2006/relationships/hyperlink" Target="https://doi.org/10.1007/978-3-642-16785-0_10" TargetMode="External"/><Relationship Id="rId129" Type="http://schemas.openxmlformats.org/officeDocument/2006/relationships/hyperlink" Target="https://proceedings.neurips.cc/paper_files/paper/2001/file/c5b2cebf15b205503560c4e8e6d1ea78-Paper.pdf" TargetMode="External"/><Relationship Id="rId280" Type="http://schemas.openxmlformats.org/officeDocument/2006/relationships/hyperlink" Target="https://dl.acm.org/doi/10.5555/32753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36"/>
  <sheetViews>
    <sheetView tabSelected="1" workbookViewId="0">
      <selection activeCell="J18" sqref="J18"/>
    </sheetView>
  </sheetViews>
  <sheetFormatPr defaultColWidth="12.6640625" defaultRowHeight="15.75" customHeight="1"/>
  <cols>
    <col min="1" max="1" width="2.6640625" customWidth="1"/>
    <col min="2" max="2" width="77.77734375" customWidth="1"/>
    <col min="4" max="4" width="51.6640625" customWidth="1"/>
    <col min="7" max="7" width="18.21875" customWidth="1"/>
  </cols>
  <sheetData>
    <row r="1" spans="1:26" ht="13.2">
      <c r="A1" s="1"/>
      <c r="B1" s="1" t="s">
        <v>1647</v>
      </c>
      <c r="C1" s="1"/>
      <c r="D1" s="1"/>
      <c r="E1" s="1"/>
      <c r="F1" s="1"/>
      <c r="G1" s="1"/>
      <c r="I1" s="2"/>
    </row>
    <row r="2" spans="1:26" ht="13.2">
      <c r="A2" s="1" t="s">
        <v>0</v>
      </c>
      <c r="B2" s="105" t="s">
        <v>1</v>
      </c>
      <c r="C2" s="106"/>
      <c r="D2" s="106"/>
      <c r="E2" s="106"/>
      <c r="F2" s="106"/>
      <c r="G2" s="106"/>
      <c r="H2" s="3"/>
      <c r="I2" s="2"/>
      <c r="J2" s="2"/>
    </row>
    <row r="3" spans="1:26" ht="33.75" customHeight="1">
      <c r="A3" s="4">
        <v>3</v>
      </c>
      <c r="B3" s="5" t="s">
        <v>2</v>
      </c>
      <c r="C3" s="6">
        <v>2013</v>
      </c>
      <c r="D3" s="7" t="s">
        <v>3</v>
      </c>
      <c r="E3" s="7" t="s">
        <v>4</v>
      </c>
      <c r="F3" s="8" t="s">
        <v>5</v>
      </c>
      <c r="G3" s="7" t="s">
        <v>6</v>
      </c>
      <c r="H3" s="3"/>
      <c r="J3" s="3"/>
    </row>
    <row r="4" spans="1:26" ht="13.2">
      <c r="A4" s="9">
        <v>5</v>
      </c>
      <c r="B4" s="10" t="s">
        <v>8</v>
      </c>
      <c r="C4" s="11">
        <v>2016</v>
      </c>
      <c r="D4" s="10" t="s">
        <v>9</v>
      </c>
      <c r="E4" s="10" t="s">
        <v>10</v>
      </c>
      <c r="F4" s="12" t="s">
        <v>11</v>
      </c>
      <c r="G4" s="10" t="s">
        <v>6</v>
      </c>
      <c r="J4" s="3"/>
    </row>
    <row r="5" spans="1:26" ht="13.2">
      <c r="A5" s="9">
        <v>7</v>
      </c>
      <c r="B5" s="10" t="s">
        <v>12</v>
      </c>
      <c r="C5" s="11">
        <v>2017</v>
      </c>
      <c r="D5" s="10" t="s">
        <v>13</v>
      </c>
      <c r="E5" s="10" t="s">
        <v>14</v>
      </c>
      <c r="F5" s="12" t="s">
        <v>15</v>
      </c>
      <c r="G5" s="10" t="s">
        <v>16</v>
      </c>
      <c r="J5" s="3"/>
    </row>
    <row r="6" spans="1:26" ht="13.2">
      <c r="A6" s="9">
        <v>8</v>
      </c>
      <c r="B6" s="10" t="s">
        <v>17</v>
      </c>
      <c r="C6" s="11">
        <v>2014</v>
      </c>
      <c r="D6" s="10" t="s">
        <v>18</v>
      </c>
      <c r="E6" s="10" t="s">
        <v>19</v>
      </c>
      <c r="F6" s="12" t="s">
        <v>20</v>
      </c>
      <c r="G6" s="10" t="s">
        <v>16</v>
      </c>
      <c r="J6" s="3"/>
    </row>
    <row r="7" spans="1:26" ht="13.2">
      <c r="A7" s="9">
        <v>9</v>
      </c>
      <c r="B7" s="10" t="s">
        <v>21</v>
      </c>
      <c r="C7" s="11">
        <v>2020</v>
      </c>
      <c r="D7" s="10" t="s">
        <v>22</v>
      </c>
      <c r="E7" s="10" t="s">
        <v>23</v>
      </c>
      <c r="F7" s="12" t="s">
        <v>24</v>
      </c>
      <c r="G7" s="10" t="s">
        <v>25</v>
      </c>
      <c r="J7" s="3"/>
    </row>
    <row r="8" spans="1:26" ht="13.2">
      <c r="A8" s="9">
        <v>10</v>
      </c>
      <c r="B8" s="10" t="s">
        <v>26</v>
      </c>
      <c r="C8" s="11">
        <v>2017</v>
      </c>
      <c r="D8" s="10" t="s">
        <v>27</v>
      </c>
      <c r="E8" s="10" t="s">
        <v>28</v>
      </c>
      <c r="F8" s="12" t="s">
        <v>29</v>
      </c>
      <c r="G8" s="10" t="s">
        <v>16</v>
      </c>
      <c r="J8" s="3"/>
    </row>
    <row r="9" spans="1:26" ht="13.2">
      <c r="A9" s="9">
        <v>11</v>
      </c>
      <c r="B9" s="10" t="s">
        <v>30</v>
      </c>
      <c r="C9" s="11">
        <v>2015</v>
      </c>
      <c r="D9" s="10" t="s">
        <v>31</v>
      </c>
      <c r="E9" s="10" t="s">
        <v>32</v>
      </c>
      <c r="F9" s="12" t="s">
        <v>33</v>
      </c>
      <c r="G9" s="10" t="s">
        <v>25</v>
      </c>
      <c r="J9" s="3"/>
    </row>
    <row r="10" spans="1:26" ht="13.2">
      <c r="A10" s="9">
        <v>12</v>
      </c>
      <c r="B10" s="10" t="s">
        <v>34</v>
      </c>
      <c r="C10" s="11">
        <v>2013</v>
      </c>
      <c r="D10" s="10" t="s">
        <v>35</v>
      </c>
      <c r="E10" s="10" t="s">
        <v>36</v>
      </c>
      <c r="F10" s="12" t="s">
        <v>37</v>
      </c>
      <c r="G10" s="10" t="s">
        <v>16</v>
      </c>
      <c r="J10" s="3"/>
    </row>
    <row r="11" spans="1:26" ht="13.2">
      <c r="A11" s="9">
        <v>13</v>
      </c>
      <c r="B11" s="10" t="s">
        <v>38</v>
      </c>
      <c r="C11" s="11">
        <v>2020</v>
      </c>
      <c r="D11" s="10" t="s">
        <v>39</v>
      </c>
      <c r="E11" s="10" t="s">
        <v>40</v>
      </c>
      <c r="F11" s="12" t="s">
        <v>41</v>
      </c>
      <c r="G11" s="10" t="s">
        <v>16</v>
      </c>
      <c r="J11" s="3"/>
    </row>
    <row r="12" spans="1:26" ht="13.2">
      <c r="A12" s="13">
        <v>14</v>
      </c>
      <c r="B12" s="14" t="s">
        <v>42</v>
      </c>
      <c r="C12" s="15">
        <v>2015</v>
      </c>
      <c r="D12" s="16" t="s">
        <v>43</v>
      </c>
      <c r="E12" s="16" t="s">
        <v>44</v>
      </c>
      <c r="F12" s="17" t="s">
        <v>45</v>
      </c>
      <c r="G12" s="16" t="s">
        <v>16</v>
      </c>
      <c r="J12" s="3"/>
    </row>
    <row r="13" spans="1:26" ht="13.2">
      <c r="A13" s="13">
        <v>15</v>
      </c>
      <c r="B13" s="13" t="s">
        <v>46</v>
      </c>
      <c r="C13" s="13">
        <v>2021</v>
      </c>
      <c r="D13" s="13" t="s">
        <v>47</v>
      </c>
      <c r="E13" s="13" t="s">
        <v>48</v>
      </c>
      <c r="F13" s="18" t="s">
        <v>49</v>
      </c>
      <c r="G13" s="13" t="s">
        <v>6</v>
      </c>
      <c r="J13" s="3"/>
    </row>
    <row r="14" spans="1:26" ht="13.2">
      <c r="A14" s="3">
        <v>16</v>
      </c>
      <c r="B14" s="19" t="s">
        <v>50</v>
      </c>
      <c r="C14" s="20">
        <v>2015</v>
      </c>
      <c r="D14" s="19" t="s">
        <v>51</v>
      </c>
      <c r="E14" s="19" t="s">
        <v>52</v>
      </c>
      <c r="F14" s="21" t="s">
        <v>53</v>
      </c>
      <c r="G14" s="19" t="s">
        <v>16</v>
      </c>
      <c r="J14" s="3"/>
    </row>
    <row r="15" spans="1:26" ht="13.2">
      <c r="A15" s="107" t="s">
        <v>54</v>
      </c>
      <c r="B15" s="106"/>
      <c r="C15" s="106"/>
      <c r="D15" s="106"/>
      <c r="E15" s="106"/>
      <c r="F15" s="106"/>
      <c r="G15" s="22"/>
      <c r="H15" s="23"/>
      <c r="I15" s="23"/>
      <c r="J15" s="23"/>
    </row>
    <row r="16" spans="1:26" ht="14.4">
      <c r="A16" s="24">
        <v>36</v>
      </c>
      <c r="B16" s="24" t="s">
        <v>55</v>
      </c>
      <c r="C16" s="24">
        <v>2023</v>
      </c>
      <c r="D16" s="24" t="s">
        <v>56</v>
      </c>
      <c r="E16" s="25" t="s">
        <v>57</v>
      </c>
      <c r="F16" s="26" t="s">
        <v>58</v>
      </c>
      <c r="G16" s="27" t="s">
        <v>16</v>
      </c>
      <c r="H16" s="28"/>
      <c r="I16" s="24"/>
      <c r="J16" s="28"/>
      <c r="K16" s="29"/>
      <c r="L16" s="29"/>
      <c r="M16" s="29"/>
      <c r="N16" s="29"/>
      <c r="O16" s="29"/>
      <c r="P16" s="29"/>
      <c r="Q16" s="29"/>
      <c r="R16" s="29"/>
      <c r="S16" s="29"/>
      <c r="T16" s="29"/>
      <c r="U16" s="29"/>
      <c r="V16" s="29"/>
      <c r="W16" s="29"/>
      <c r="X16" s="29"/>
      <c r="Y16" s="29"/>
      <c r="Z16" s="29"/>
    </row>
    <row r="17" spans="1:26" ht="13.2">
      <c r="A17" s="108" t="s">
        <v>59</v>
      </c>
      <c r="B17" s="106"/>
      <c r="C17" s="106"/>
      <c r="D17" s="106"/>
      <c r="E17" s="106"/>
      <c r="F17" s="106"/>
      <c r="G17" s="106"/>
    </row>
    <row r="18" spans="1:26" ht="13.2">
      <c r="A18" s="3">
        <v>17</v>
      </c>
      <c r="B18" s="3" t="s">
        <v>60</v>
      </c>
      <c r="C18" s="3">
        <v>2019</v>
      </c>
      <c r="D18" s="3" t="s">
        <v>61</v>
      </c>
      <c r="E18" s="30" t="s">
        <v>62</v>
      </c>
      <c r="F18" s="3">
        <v>5</v>
      </c>
      <c r="H18" s="3"/>
      <c r="K18" s="3"/>
      <c r="L18" s="3"/>
    </row>
    <row r="19" spans="1:26" ht="13.2">
      <c r="A19" s="3">
        <v>18</v>
      </c>
      <c r="B19" s="3" t="s">
        <v>64</v>
      </c>
      <c r="C19" s="3">
        <v>2015</v>
      </c>
      <c r="D19" s="3" t="s">
        <v>65</v>
      </c>
      <c r="E19" s="31" t="s">
        <v>66</v>
      </c>
      <c r="F19" s="3">
        <v>8</v>
      </c>
      <c r="H19" s="3"/>
    </row>
    <row r="20" spans="1:26" ht="13.2">
      <c r="A20" s="3">
        <v>20</v>
      </c>
      <c r="B20" s="3" t="s">
        <v>68</v>
      </c>
      <c r="C20" s="3">
        <v>2021</v>
      </c>
      <c r="D20" s="3" t="s">
        <v>69</v>
      </c>
      <c r="E20" s="31" t="s">
        <v>70</v>
      </c>
      <c r="F20" s="3">
        <v>11</v>
      </c>
      <c r="H20" s="3"/>
    </row>
    <row r="21" spans="1:26" ht="13.2">
      <c r="A21" s="3">
        <v>21</v>
      </c>
      <c r="B21" s="3" t="s">
        <v>72</v>
      </c>
      <c r="C21" s="3">
        <v>2017</v>
      </c>
      <c r="D21" s="3" t="s">
        <v>73</v>
      </c>
      <c r="E21" s="31" t="s">
        <v>74</v>
      </c>
      <c r="F21" s="3">
        <v>11</v>
      </c>
      <c r="H21" s="3"/>
    </row>
    <row r="22" spans="1:26" ht="13.2">
      <c r="A22" s="3">
        <v>23</v>
      </c>
      <c r="B22" s="3" t="s">
        <v>76</v>
      </c>
      <c r="C22" s="3">
        <v>2021</v>
      </c>
      <c r="D22" s="3" t="s">
        <v>77</v>
      </c>
      <c r="E22" s="31" t="s">
        <v>78</v>
      </c>
      <c r="F22" s="9">
        <v>12</v>
      </c>
      <c r="H22" s="3"/>
    </row>
    <row r="23" spans="1:26" ht="13.2">
      <c r="A23" s="3">
        <v>24</v>
      </c>
      <c r="B23" s="3" t="s">
        <v>80</v>
      </c>
      <c r="C23" s="3">
        <v>2019</v>
      </c>
      <c r="D23" s="3" t="s">
        <v>81</v>
      </c>
      <c r="E23" s="30" t="s">
        <v>82</v>
      </c>
      <c r="F23" s="9">
        <v>12</v>
      </c>
      <c r="H23" s="3"/>
    </row>
    <row r="24" spans="1:26" ht="13.2">
      <c r="A24" s="3">
        <v>25</v>
      </c>
      <c r="B24" s="3" t="s">
        <v>84</v>
      </c>
      <c r="C24" s="3">
        <v>2016</v>
      </c>
      <c r="D24" s="3" t="s">
        <v>85</v>
      </c>
      <c r="E24" s="30" t="s">
        <v>86</v>
      </c>
      <c r="F24" s="9">
        <v>12</v>
      </c>
      <c r="H24" s="3"/>
    </row>
    <row r="25" spans="1:26" ht="13.2">
      <c r="A25" s="3">
        <v>26</v>
      </c>
      <c r="B25" s="3" t="s">
        <v>88</v>
      </c>
      <c r="C25" s="3">
        <v>2018</v>
      </c>
      <c r="D25" s="32" t="s">
        <v>89</v>
      </c>
      <c r="E25" s="31" t="s">
        <v>90</v>
      </c>
      <c r="F25" s="9">
        <v>14</v>
      </c>
    </row>
    <row r="26" spans="1:26" ht="13.2">
      <c r="A26" s="3">
        <v>27</v>
      </c>
      <c r="B26" s="3" t="s">
        <v>91</v>
      </c>
      <c r="C26" s="3">
        <v>2016</v>
      </c>
      <c r="D26" s="3" t="s">
        <v>92</v>
      </c>
      <c r="E26" s="30" t="s">
        <v>93</v>
      </c>
      <c r="F26" s="9">
        <v>14</v>
      </c>
      <c r="H26" s="3"/>
    </row>
    <row r="27" spans="1:26" ht="13.2">
      <c r="A27" s="3">
        <v>28</v>
      </c>
      <c r="B27" s="3" t="s">
        <v>95</v>
      </c>
      <c r="C27" s="3">
        <v>2021</v>
      </c>
      <c r="D27" s="3" t="s">
        <v>96</v>
      </c>
      <c r="E27" s="31" t="s">
        <v>97</v>
      </c>
      <c r="F27" s="9">
        <v>14</v>
      </c>
    </row>
    <row r="28" spans="1:26" ht="13.2">
      <c r="A28" s="3">
        <v>29</v>
      </c>
      <c r="B28" s="3" t="s">
        <v>98</v>
      </c>
      <c r="C28" s="3">
        <v>2016</v>
      </c>
      <c r="D28" s="3" t="s">
        <v>99</v>
      </c>
      <c r="E28" s="31" t="s">
        <v>100</v>
      </c>
      <c r="F28" s="9">
        <v>14</v>
      </c>
    </row>
    <row r="29" spans="1:26" ht="13.2">
      <c r="A29" s="24">
        <v>37</v>
      </c>
      <c r="B29" s="24" t="s">
        <v>101</v>
      </c>
      <c r="C29" s="33">
        <v>2023</v>
      </c>
      <c r="D29" s="24" t="s">
        <v>102</v>
      </c>
      <c r="E29" s="34" t="s">
        <v>103</v>
      </c>
      <c r="F29" s="33">
        <v>9</v>
      </c>
      <c r="G29" s="22"/>
      <c r="H29" s="35"/>
      <c r="I29" s="23"/>
      <c r="J29" s="23"/>
      <c r="K29" s="23"/>
      <c r="L29" s="23"/>
      <c r="M29" s="23"/>
      <c r="N29" s="23"/>
      <c r="O29" s="23"/>
      <c r="P29" s="23"/>
      <c r="Q29" s="23"/>
      <c r="R29" s="23"/>
      <c r="S29" s="23"/>
      <c r="T29" s="23"/>
      <c r="U29" s="23"/>
      <c r="V29" s="23"/>
      <c r="W29" s="23"/>
      <c r="X29" s="23"/>
      <c r="Y29" s="23"/>
      <c r="Z29" s="23"/>
    </row>
    <row r="30" spans="1:26" ht="13.2">
      <c r="A30" s="108" t="s">
        <v>104</v>
      </c>
      <c r="B30" s="106"/>
      <c r="C30" s="106"/>
      <c r="D30" s="106"/>
      <c r="E30" s="106"/>
      <c r="F30" s="106"/>
      <c r="G30" s="106"/>
    </row>
    <row r="31" spans="1:26" ht="13.2">
      <c r="A31" s="3">
        <v>30</v>
      </c>
      <c r="B31" s="36" t="s">
        <v>105</v>
      </c>
      <c r="C31" s="36">
        <v>2011</v>
      </c>
      <c r="D31" s="36" t="s">
        <v>106</v>
      </c>
      <c r="E31" s="37" t="s">
        <v>107</v>
      </c>
      <c r="F31" s="36">
        <v>5</v>
      </c>
      <c r="H31" s="3"/>
    </row>
    <row r="32" spans="1:26" ht="13.2">
      <c r="A32" s="3">
        <v>31</v>
      </c>
      <c r="B32" s="36" t="s">
        <v>109</v>
      </c>
      <c r="C32" s="36">
        <v>2016</v>
      </c>
      <c r="D32" s="36" t="s">
        <v>110</v>
      </c>
      <c r="E32" s="37" t="s">
        <v>111</v>
      </c>
      <c r="F32" s="36">
        <v>7</v>
      </c>
      <c r="H32" s="3"/>
    </row>
    <row r="33" spans="1:8" ht="13.2">
      <c r="A33" s="3">
        <v>32</v>
      </c>
      <c r="B33" s="36" t="s">
        <v>113</v>
      </c>
      <c r="C33" s="36">
        <v>2012</v>
      </c>
      <c r="D33" s="36" t="s">
        <v>114</v>
      </c>
      <c r="E33" s="37" t="s">
        <v>115</v>
      </c>
      <c r="F33" s="36" t="s">
        <v>116</v>
      </c>
      <c r="H33" s="3"/>
    </row>
    <row r="34" spans="1:8" ht="13.2">
      <c r="A34" s="3">
        <v>33</v>
      </c>
      <c r="B34" s="36" t="s">
        <v>118</v>
      </c>
      <c r="C34" s="36">
        <v>2019</v>
      </c>
      <c r="D34" s="36" t="s">
        <v>119</v>
      </c>
      <c r="E34" s="37" t="s">
        <v>120</v>
      </c>
      <c r="F34" s="36">
        <v>9</v>
      </c>
      <c r="H34" s="3"/>
    </row>
    <row r="35" spans="1:8" ht="13.2">
      <c r="A35" s="3">
        <v>34</v>
      </c>
      <c r="B35" s="36" t="s">
        <v>122</v>
      </c>
      <c r="C35" s="36">
        <v>2012</v>
      </c>
      <c r="D35" s="36" t="s">
        <v>123</v>
      </c>
      <c r="E35" s="37" t="s">
        <v>124</v>
      </c>
      <c r="F35" s="36">
        <v>9</v>
      </c>
      <c r="H35" s="3"/>
    </row>
    <row r="36" spans="1:8" ht="14.4">
      <c r="A36" s="3">
        <v>35</v>
      </c>
      <c r="B36" s="36" t="s">
        <v>126</v>
      </c>
      <c r="C36" s="36">
        <v>2013</v>
      </c>
      <c r="D36" s="36" t="s">
        <v>127</v>
      </c>
      <c r="E36" s="37" t="s">
        <v>128</v>
      </c>
      <c r="F36" s="36">
        <v>14</v>
      </c>
      <c r="H36" s="38"/>
    </row>
  </sheetData>
  <mergeCells count="4">
    <mergeCell ref="B2:G2"/>
    <mergeCell ref="A15:F15"/>
    <mergeCell ref="A17:G17"/>
    <mergeCell ref="A30:G30"/>
  </mergeCells>
  <hyperlinks>
    <hyperlink ref="F3" r:id="rId1" xr:uid="{00000000-0004-0000-0000-000000000000}"/>
    <hyperlink ref="F4" r:id="rId2" xr:uid="{00000000-0004-0000-0000-000001000000}"/>
    <hyperlink ref="F5" r:id="rId3" xr:uid="{00000000-0004-0000-0000-000002000000}"/>
    <hyperlink ref="F6" r:id="rId4" xr:uid="{00000000-0004-0000-0000-000003000000}"/>
    <hyperlink ref="F7" r:id="rId5" xr:uid="{00000000-0004-0000-0000-000004000000}"/>
    <hyperlink ref="F8" r:id="rId6" xr:uid="{00000000-0004-0000-0000-000005000000}"/>
    <hyperlink ref="F9" r:id="rId7" xr:uid="{00000000-0004-0000-0000-000006000000}"/>
    <hyperlink ref="F10" r:id="rId8" xr:uid="{00000000-0004-0000-0000-000007000000}"/>
    <hyperlink ref="F11" r:id="rId9" xr:uid="{00000000-0004-0000-0000-000008000000}"/>
    <hyperlink ref="F12" r:id="rId10" xr:uid="{00000000-0004-0000-0000-000009000000}"/>
    <hyperlink ref="F13" r:id="rId11" xr:uid="{00000000-0004-0000-0000-00000A000000}"/>
    <hyperlink ref="F14" r:id="rId12" xr:uid="{00000000-0004-0000-0000-00000B000000}"/>
    <hyperlink ref="F16" r:id="rId13" xr:uid="{00000000-0004-0000-0000-00000C000000}"/>
    <hyperlink ref="E18" r:id="rId14" xr:uid="{00000000-0004-0000-0000-00000D000000}"/>
    <hyperlink ref="E19" r:id="rId15" xr:uid="{00000000-0004-0000-0000-00000E000000}"/>
    <hyperlink ref="E20" r:id="rId16" xr:uid="{00000000-0004-0000-0000-00000F000000}"/>
    <hyperlink ref="E21" r:id="rId17" xr:uid="{00000000-0004-0000-0000-000010000000}"/>
    <hyperlink ref="E22" r:id="rId18" xr:uid="{00000000-0004-0000-0000-000011000000}"/>
    <hyperlink ref="E23" r:id="rId19" xr:uid="{00000000-0004-0000-0000-000012000000}"/>
    <hyperlink ref="E24" r:id="rId20" xr:uid="{00000000-0004-0000-0000-000013000000}"/>
    <hyperlink ref="E25" r:id="rId21" xr:uid="{00000000-0004-0000-0000-000014000000}"/>
    <hyperlink ref="E26" r:id="rId22" xr:uid="{00000000-0004-0000-0000-000015000000}"/>
    <hyperlink ref="E27" r:id="rId23" xr:uid="{00000000-0004-0000-0000-000016000000}"/>
    <hyperlink ref="E28" r:id="rId24" xr:uid="{00000000-0004-0000-0000-000017000000}"/>
    <hyperlink ref="E29" r:id="rId25" xr:uid="{00000000-0004-0000-0000-000018000000}"/>
    <hyperlink ref="E31" r:id="rId26" xr:uid="{00000000-0004-0000-0000-000019000000}"/>
    <hyperlink ref="E32" r:id="rId27" xr:uid="{00000000-0004-0000-0000-00001A000000}"/>
    <hyperlink ref="E33" r:id="rId28" xr:uid="{00000000-0004-0000-0000-00001B000000}"/>
    <hyperlink ref="E34" r:id="rId29" xr:uid="{00000000-0004-0000-0000-00001C000000}"/>
    <hyperlink ref="E35" r:id="rId30" xr:uid="{00000000-0004-0000-0000-00001D000000}"/>
    <hyperlink ref="E36" r:id="rId31" xr:uid="{00000000-0004-0000-0000-00001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007"/>
  <sheetViews>
    <sheetView workbookViewId="0"/>
  </sheetViews>
  <sheetFormatPr defaultColWidth="12.6640625" defaultRowHeight="15.75" customHeight="1"/>
  <cols>
    <col min="1" max="1" width="16.109375" customWidth="1"/>
    <col min="2" max="2" width="72.33203125" customWidth="1"/>
    <col min="5" max="5" width="12.44140625" customWidth="1"/>
    <col min="15" max="15" width="12.77734375" customWidth="1"/>
  </cols>
  <sheetData>
    <row r="1" spans="1:18" ht="13.2">
      <c r="A1" s="108" t="s">
        <v>130</v>
      </c>
      <c r="B1" s="106"/>
      <c r="C1" s="106"/>
      <c r="D1" s="106"/>
      <c r="E1" s="106"/>
      <c r="F1" s="106"/>
      <c r="G1" s="106"/>
    </row>
    <row r="2" spans="1:18" ht="13.2">
      <c r="A2" s="2" t="s">
        <v>131</v>
      </c>
      <c r="B2" s="39" t="s">
        <v>132</v>
      </c>
      <c r="C2" s="39" t="s">
        <v>133</v>
      </c>
      <c r="D2" s="39" t="s">
        <v>134</v>
      </c>
      <c r="E2" s="40" t="s">
        <v>135</v>
      </c>
      <c r="F2" s="41" t="s">
        <v>136</v>
      </c>
      <c r="G2" s="41" t="s">
        <v>137</v>
      </c>
      <c r="H2" s="41" t="s">
        <v>138</v>
      </c>
      <c r="I2" s="41" t="s">
        <v>139</v>
      </c>
      <c r="J2" s="42" t="s">
        <v>140</v>
      </c>
      <c r="K2" s="43" t="s">
        <v>141</v>
      </c>
      <c r="L2" s="43" t="s">
        <v>142</v>
      </c>
      <c r="M2" s="43" t="s">
        <v>143</v>
      </c>
      <c r="N2" s="43" t="s">
        <v>144</v>
      </c>
      <c r="O2" s="44" t="s">
        <v>145</v>
      </c>
      <c r="P2" s="44" t="s">
        <v>146</v>
      </c>
      <c r="Q2" s="45" t="s">
        <v>147</v>
      </c>
      <c r="R2" s="2" t="s">
        <v>148</v>
      </c>
    </row>
    <row r="3" spans="1:18" ht="13.2">
      <c r="A3" s="3">
        <v>3</v>
      </c>
      <c r="B3" s="3" t="s">
        <v>149</v>
      </c>
      <c r="C3" s="3">
        <v>2021</v>
      </c>
      <c r="D3" s="46" t="s">
        <v>150</v>
      </c>
      <c r="E3" s="30" t="s">
        <v>151</v>
      </c>
      <c r="F3" s="47"/>
      <c r="G3" s="47" t="s">
        <v>7</v>
      </c>
      <c r="H3" s="48"/>
      <c r="I3" s="48"/>
      <c r="J3" s="48"/>
      <c r="K3" s="49"/>
      <c r="L3" s="49"/>
      <c r="M3" s="49"/>
      <c r="N3" s="49"/>
      <c r="O3" s="50"/>
      <c r="P3" s="51"/>
      <c r="Q3" s="3" t="s">
        <v>152</v>
      </c>
    </row>
    <row r="4" spans="1:18" ht="13.2">
      <c r="A4" s="3">
        <v>3</v>
      </c>
      <c r="B4" s="3" t="s">
        <v>153</v>
      </c>
      <c r="C4" s="3">
        <v>2019</v>
      </c>
      <c r="D4" s="3" t="s">
        <v>154</v>
      </c>
      <c r="E4" s="31" t="s">
        <v>155</v>
      </c>
      <c r="F4" s="52"/>
      <c r="G4" s="53" t="s">
        <v>7</v>
      </c>
      <c r="H4" s="52"/>
      <c r="I4" s="52"/>
      <c r="J4" s="52"/>
      <c r="K4" s="50"/>
      <c r="L4" s="50"/>
      <c r="M4" s="50"/>
      <c r="N4" s="51" t="s">
        <v>7</v>
      </c>
      <c r="O4" s="50"/>
      <c r="P4" s="51"/>
      <c r="Q4" s="3" t="s">
        <v>152</v>
      </c>
    </row>
    <row r="5" spans="1:18" ht="13.2">
      <c r="A5" s="3">
        <v>3</v>
      </c>
      <c r="B5" s="3" t="s">
        <v>156</v>
      </c>
      <c r="E5" s="54"/>
      <c r="F5" s="52"/>
      <c r="G5" s="52"/>
      <c r="H5" s="52"/>
      <c r="I5" s="52"/>
      <c r="J5" s="52"/>
      <c r="K5" s="50"/>
      <c r="L5" s="51" t="s">
        <v>7</v>
      </c>
      <c r="M5" s="50"/>
      <c r="N5" s="50"/>
      <c r="O5" s="51"/>
      <c r="P5" s="51"/>
      <c r="Q5" s="3" t="s">
        <v>152</v>
      </c>
    </row>
    <row r="6" spans="1:18" ht="13.2">
      <c r="A6" s="3">
        <v>3</v>
      </c>
      <c r="B6" s="3" t="s">
        <v>157</v>
      </c>
      <c r="E6" s="54"/>
      <c r="F6" s="52"/>
      <c r="G6" s="52"/>
      <c r="H6" s="52"/>
      <c r="I6" s="52"/>
      <c r="J6" s="52"/>
      <c r="K6" s="50"/>
      <c r="L6" s="51" t="s">
        <v>7</v>
      </c>
      <c r="M6" s="50"/>
      <c r="N6" s="50"/>
      <c r="O6" s="51"/>
      <c r="P6" s="51"/>
      <c r="Q6" s="3" t="s">
        <v>152</v>
      </c>
    </row>
    <row r="7" spans="1:18" ht="13.2">
      <c r="A7" s="3">
        <v>5</v>
      </c>
      <c r="B7" s="3" t="s">
        <v>158</v>
      </c>
      <c r="C7" s="3">
        <v>2021</v>
      </c>
      <c r="D7" s="3" t="s">
        <v>159</v>
      </c>
      <c r="E7" s="31" t="s">
        <v>160</v>
      </c>
      <c r="F7" s="52"/>
      <c r="G7" s="52"/>
      <c r="H7" s="52"/>
      <c r="I7" s="52"/>
      <c r="J7" s="52"/>
      <c r="K7" s="50"/>
      <c r="L7" s="50"/>
      <c r="M7" s="50"/>
      <c r="N7" s="51" t="s">
        <v>7</v>
      </c>
      <c r="O7" s="50"/>
      <c r="P7" s="51"/>
      <c r="Q7" s="3" t="s">
        <v>152</v>
      </c>
    </row>
    <row r="8" spans="1:18" ht="13.2">
      <c r="A8" s="3">
        <v>5</v>
      </c>
      <c r="B8" s="3" t="s">
        <v>161</v>
      </c>
      <c r="C8" s="3">
        <v>2021</v>
      </c>
      <c r="D8" s="3" t="s">
        <v>162</v>
      </c>
      <c r="E8" s="31" t="s">
        <v>163</v>
      </c>
      <c r="F8" s="53" t="s">
        <v>7</v>
      </c>
      <c r="G8" s="52"/>
      <c r="H8" s="52"/>
      <c r="I8" s="52"/>
      <c r="J8" s="52"/>
      <c r="K8" s="50"/>
      <c r="L8" s="50"/>
      <c r="M8" s="50"/>
      <c r="N8" s="50"/>
      <c r="O8" s="50"/>
      <c r="P8" s="51"/>
      <c r="Q8" s="3" t="s">
        <v>152</v>
      </c>
    </row>
    <row r="9" spans="1:18" ht="13.2">
      <c r="A9" s="3">
        <v>5</v>
      </c>
      <c r="B9" s="3" t="s">
        <v>164</v>
      </c>
      <c r="C9" s="3">
        <v>2018</v>
      </c>
      <c r="D9" s="3" t="s">
        <v>165</v>
      </c>
      <c r="E9" s="31" t="s">
        <v>166</v>
      </c>
      <c r="F9" s="53" t="s">
        <v>7</v>
      </c>
      <c r="G9" s="52"/>
      <c r="H9" s="52"/>
      <c r="I9" s="52"/>
      <c r="J9" s="52"/>
      <c r="K9" s="50"/>
      <c r="L9" s="50"/>
      <c r="M9" s="50"/>
      <c r="N9" s="50"/>
      <c r="O9" s="50"/>
      <c r="P9" s="51"/>
      <c r="Q9" s="3" t="s">
        <v>152</v>
      </c>
    </row>
    <row r="10" spans="1:18" ht="13.2">
      <c r="A10" s="3">
        <v>5</v>
      </c>
      <c r="B10" s="3" t="s">
        <v>167</v>
      </c>
      <c r="C10" s="3">
        <v>2018</v>
      </c>
      <c r="D10" s="3" t="s">
        <v>168</v>
      </c>
      <c r="E10" s="31" t="s">
        <v>169</v>
      </c>
      <c r="F10" s="53" t="s">
        <v>7</v>
      </c>
      <c r="G10" s="52"/>
      <c r="H10" s="53" t="s">
        <v>7</v>
      </c>
      <c r="I10" s="52"/>
      <c r="J10" s="52"/>
      <c r="K10" s="50"/>
      <c r="L10" s="50"/>
      <c r="M10" s="50"/>
      <c r="N10" s="50"/>
      <c r="O10" s="50"/>
      <c r="P10" s="51"/>
      <c r="Q10" s="3" t="s">
        <v>152</v>
      </c>
    </row>
    <row r="11" spans="1:18" ht="13.2">
      <c r="A11" s="3">
        <v>5</v>
      </c>
      <c r="B11" s="3" t="s">
        <v>170</v>
      </c>
      <c r="C11" s="3">
        <v>2021</v>
      </c>
      <c r="D11" s="3" t="s">
        <v>171</v>
      </c>
      <c r="E11" s="31" t="s">
        <v>172</v>
      </c>
      <c r="F11" s="53" t="s">
        <v>7</v>
      </c>
      <c r="G11" s="52"/>
      <c r="H11" s="52"/>
      <c r="I11" s="52"/>
      <c r="J11" s="52"/>
      <c r="K11" s="50"/>
      <c r="L11" s="50"/>
      <c r="M11" s="50"/>
      <c r="N11" s="50"/>
      <c r="O11" s="50"/>
      <c r="P11" s="51"/>
      <c r="Q11" s="3" t="s">
        <v>152</v>
      </c>
    </row>
    <row r="12" spans="1:18" ht="13.2">
      <c r="A12" s="3">
        <v>5</v>
      </c>
      <c r="B12" s="3" t="s">
        <v>173</v>
      </c>
      <c r="C12" s="3">
        <v>2019</v>
      </c>
      <c r="D12" s="3" t="s">
        <v>174</v>
      </c>
      <c r="E12" s="31" t="s">
        <v>175</v>
      </c>
      <c r="F12" s="53" t="s">
        <v>7</v>
      </c>
      <c r="G12" s="52"/>
      <c r="H12" s="52"/>
      <c r="I12" s="52"/>
      <c r="J12" s="52"/>
      <c r="K12" s="50"/>
      <c r="L12" s="50"/>
      <c r="M12" s="50"/>
      <c r="N12" s="50"/>
      <c r="O12" s="50"/>
      <c r="P12" s="51"/>
      <c r="Q12" s="3" t="s">
        <v>152</v>
      </c>
    </row>
    <row r="13" spans="1:18" ht="13.2">
      <c r="A13" s="3">
        <v>5</v>
      </c>
      <c r="B13" s="3" t="s">
        <v>60</v>
      </c>
      <c r="C13" s="3">
        <v>2019</v>
      </c>
      <c r="D13" s="3" t="s">
        <v>61</v>
      </c>
      <c r="E13" s="31" t="s">
        <v>62</v>
      </c>
      <c r="F13" s="52"/>
      <c r="G13" s="52"/>
      <c r="H13" s="52"/>
      <c r="I13" s="52"/>
      <c r="J13" s="52"/>
      <c r="K13" s="50"/>
      <c r="L13" s="50"/>
      <c r="M13" s="50"/>
      <c r="N13" s="50"/>
      <c r="O13" s="50"/>
      <c r="P13" s="51"/>
      <c r="Q13" s="3" t="s">
        <v>176</v>
      </c>
      <c r="R13" s="3" t="s">
        <v>63</v>
      </c>
    </row>
    <row r="14" spans="1:18" ht="13.2">
      <c r="A14" s="3">
        <v>5</v>
      </c>
      <c r="B14" s="3" t="s">
        <v>177</v>
      </c>
      <c r="C14" s="3">
        <v>2019</v>
      </c>
      <c r="D14" s="3" t="s">
        <v>178</v>
      </c>
      <c r="E14" s="31" t="s">
        <v>179</v>
      </c>
      <c r="F14" s="53" t="s">
        <v>7</v>
      </c>
      <c r="G14" s="52"/>
      <c r="H14" s="52"/>
      <c r="I14" s="52"/>
      <c r="J14" s="52"/>
      <c r="K14" s="50"/>
      <c r="L14" s="50"/>
      <c r="M14" s="50"/>
      <c r="N14" s="50"/>
      <c r="O14" s="50"/>
      <c r="P14" s="51"/>
      <c r="Q14" s="3" t="s">
        <v>152</v>
      </c>
    </row>
    <row r="15" spans="1:18" ht="13.2">
      <c r="A15" s="3">
        <v>5</v>
      </c>
      <c r="B15" s="3" t="s">
        <v>180</v>
      </c>
      <c r="C15" s="3">
        <v>2019</v>
      </c>
      <c r="D15" s="3" t="s">
        <v>181</v>
      </c>
      <c r="E15" s="31" t="s">
        <v>182</v>
      </c>
      <c r="F15" s="53" t="s">
        <v>7</v>
      </c>
      <c r="G15" s="52"/>
      <c r="H15" s="52"/>
      <c r="I15" s="52"/>
      <c r="J15" s="52"/>
      <c r="K15" s="50"/>
      <c r="L15" s="50"/>
      <c r="M15" s="50"/>
      <c r="N15" s="50"/>
      <c r="O15" s="50"/>
      <c r="P15" s="51"/>
      <c r="Q15" s="3" t="s">
        <v>152</v>
      </c>
    </row>
    <row r="16" spans="1:18" ht="13.2">
      <c r="A16" s="3">
        <v>5</v>
      </c>
      <c r="B16" s="3" t="s">
        <v>183</v>
      </c>
      <c r="C16" s="3">
        <v>2018</v>
      </c>
      <c r="D16" s="3" t="s">
        <v>184</v>
      </c>
      <c r="E16" s="31" t="s">
        <v>185</v>
      </c>
      <c r="F16" s="52"/>
      <c r="G16" s="52"/>
      <c r="H16" s="52"/>
      <c r="I16" s="52"/>
      <c r="J16" s="52"/>
      <c r="K16" s="51" t="s">
        <v>7</v>
      </c>
      <c r="L16" s="50"/>
      <c r="M16" s="50"/>
      <c r="N16" s="50"/>
      <c r="O16" s="50"/>
      <c r="P16" s="51"/>
      <c r="Q16" s="3" t="s">
        <v>152</v>
      </c>
    </row>
    <row r="17" spans="1:18" ht="13.2">
      <c r="A17" s="3">
        <v>5</v>
      </c>
      <c r="B17" s="3" t="s">
        <v>186</v>
      </c>
      <c r="C17" s="3">
        <v>2020</v>
      </c>
      <c r="D17" s="3" t="s">
        <v>187</v>
      </c>
      <c r="E17" s="31" t="s">
        <v>188</v>
      </c>
      <c r="F17" s="53" t="s">
        <v>7</v>
      </c>
      <c r="G17" s="52"/>
      <c r="H17" s="52"/>
      <c r="I17" s="52"/>
      <c r="J17" s="52"/>
      <c r="K17" s="50"/>
      <c r="L17" s="50"/>
      <c r="M17" s="50"/>
      <c r="N17" s="50"/>
      <c r="O17" s="50"/>
      <c r="P17" s="51"/>
      <c r="Q17" s="3" t="s">
        <v>152</v>
      </c>
    </row>
    <row r="18" spans="1:18" ht="13.2">
      <c r="A18" s="3">
        <v>5</v>
      </c>
      <c r="B18" s="3" t="s">
        <v>189</v>
      </c>
      <c r="C18" s="3">
        <v>2017</v>
      </c>
      <c r="D18" s="3" t="s">
        <v>190</v>
      </c>
      <c r="E18" s="31" t="s">
        <v>191</v>
      </c>
      <c r="F18" s="52"/>
      <c r="G18" s="52"/>
      <c r="H18" s="52"/>
      <c r="I18" s="52"/>
      <c r="J18" s="52"/>
      <c r="K18" s="50"/>
      <c r="L18" s="51" t="s">
        <v>7</v>
      </c>
      <c r="M18" s="50"/>
      <c r="N18" s="50"/>
      <c r="O18" s="51"/>
      <c r="P18" s="51"/>
      <c r="Q18" s="3" t="s">
        <v>152</v>
      </c>
    </row>
    <row r="19" spans="1:18" ht="13.2">
      <c r="A19" s="3">
        <v>5</v>
      </c>
      <c r="B19" s="3" t="s">
        <v>192</v>
      </c>
      <c r="C19" s="3">
        <v>2022</v>
      </c>
      <c r="D19" s="3" t="s">
        <v>193</v>
      </c>
      <c r="E19" s="30" t="s">
        <v>194</v>
      </c>
      <c r="F19" s="53" t="s">
        <v>7</v>
      </c>
      <c r="G19" s="52"/>
      <c r="H19" s="52"/>
      <c r="I19" s="52"/>
      <c r="J19" s="52"/>
      <c r="K19" s="50"/>
      <c r="L19" s="50"/>
      <c r="M19" s="50"/>
      <c r="N19" s="50"/>
      <c r="O19" s="50"/>
      <c r="P19" s="51"/>
      <c r="Q19" s="3" t="s">
        <v>152</v>
      </c>
    </row>
    <row r="20" spans="1:18" ht="13.2">
      <c r="A20" s="3">
        <v>5</v>
      </c>
      <c r="B20" s="3" t="s">
        <v>195</v>
      </c>
      <c r="C20" s="3">
        <v>2017</v>
      </c>
      <c r="D20" s="3" t="s">
        <v>196</v>
      </c>
      <c r="E20" s="31" t="s">
        <v>197</v>
      </c>
      <c r="F20" s="53" t="s">
        <v>7</v>
      </c>
      <c r="G20" s="52"/>
      <c r="H20" s="52"/>
      <c r="I20" s="52"/>
      <c r="J20" s="52"/>
      <c r="K20" s="50"/>
      <c r="L20" s="50"/>
      <c r="M20" s="50"/>
      <c r="N20" s="50"/>
      <c r="O20" s="50"/>
      <c r="P20" s="51"/>
      <c r="Q20" s="3" t="s">
        <v>152</v>
      </c>
    </row>
    <row r="21" spans="1:18" ht="13.2">
      <c r="A21" s="3">
        <v>5</v>
      </c>
      <c r="B21" s="3" t="s">
        <v>198</v>
      </c>
      <c r="C21" s="3">
        <v>2019</v>
      </c>
      <c r="D21" s="3" t="s">
        <v>199</v>
      </c>
      <c r="E21" s="31" t="s">
        <v>200</v>
      </c>
      <c r="F21" s="53" t="s">
        <v>7</v>
      </c>
      <c r="G21" s="52"/>
      <c r="H21" s="52"/>
      <c r="I21" s="52"/>
      <c r="J21" s="52"/>
      <c r="K21" s="50"/>
      <c r="L21" s="50"/>
      <c r="M21" s="50"/>
      <c r="N21" s="50"/>
      <c r="O21" s="50"/>
      <c r="P21" s="51"/>
      <c r="Q21" s="3" t="s">
        <v>152</v>
      </c>
    </row>
    <row r="22" spans="1:18" ht="13.2">
      <c r="A22" s="3">
        <v>5</v>
      </c>
      <c r="B22" s="3" t="s">
        <v>201</v>
      </c>
      <c r="C22" s="3">
        <v>2019</v>
      </c>
      <c r="D22" s="3" t="s">
        <v>202</v>
      </c>
      <c r="E22" s="30" t="s">
        <v>203</v>
      </c>
      <c r="F22" s="53" t="s">
        <v>7</v>
      </c>
      <c r="G22" s="52"/>
      <c r="H22" s="52"/>
      <c r="I22" s="52"/>
      <c r="J22" s="52"/>
      <c r="K22" s="50"/>
      <c r="L22" s="50"/>
      <c r="M22" s="50"/>
      <c r="N22" s="50"/>
      <c r="O22" s="50"/>
      <c r="P22" s="51"/>
      <c r="Q22" s="3" t="s">
        <v>152</v>
      </c>
    </row>
    <row r="23" spans="1:18" ht="13.2">
      <c r="A23" s="3">
        <v>5</v>
      </c>
      <c r="B23" s="3" t="s">
        <v>204</v>
      </c>
      <c r="C23" s="3">
        <v>2021</v>
      </c>
      <c r="D23" s="3" t="s">
        <v>205</v>
      </c>
      <c r="E23" s="31" t="s">
        <v>206</v>
      </c>
      <c r="F23" s="52"/>
      <c r="G23" s="52"/>
      <c r="H23" s="52"/>
      <c r="I23" s="52"/>
      <c r="J23" s="52"/>
      <c r="K23" s="50"/>
      <c r="L23" s="51" t="s">
        <v>7</v>
      </c>
      <c r="M23" s="50"/>
      <c r="N23" s="51" t="s">
        <v>7</v>
      </c>
      <c r="O23" s="51"/>
      <c r="P23" s="51"/>
      <c r="Q23" s="3" t="s">
        <v>152</v>
      </c>
      <c r="R23" s="3" t="s">
        <v>207</v>
      </c>
    </row>
    <row r="24" spans="1:18" ht="13.2">
      <c r="A24" s="3">
        <v>5</v>
      </c>
      <c r="B24" s="3" t="s">
        <v>208</v>
      </c>
      <c r="C24" s="3">
        <v>2019</v>
      </c>
      <c r="D24" s="3" t="s">
        <v>209</v>
      </c>
      <c r="E24" s="31" t="s">
        <v>210</v>
      </c>
      <c r="F24" s="53" t="s">
        <v>7</v>
      </c>
      <c r="G24" s="52"/>
      <c r="H24" s="52"/>
      <c r="I24" s="52"/>
      <c r="J24" s="52"/>
      <c r="K24" s="50"/>
      <c r="L24" s="50"/>
      <c r="M24" s="50"/>
      <c r="N24" s="50"/>
      <c r="O24" s="50"/>
      <c r="P24" s="50"/>
      <c r="Q24" s="3" t="s">
        <v>152</v>
      </c>
    </row>
    <row r="25" spans="1:18" ht="13.2">
      <c r="A25" s="3">
        <v>5</v>
      </c>
      <c r="B25" s="3" t="s">
        <v>211</v>
      </c>
      <c r="C25" s="3">
        <v>2017</v>
      </c>
      <c r="D25" s="3" t="s">
        <v>212</v>
      </c>
      <c r="E25" s="31" t="s">
        <v>213</v>
      </c>
      <c r="F25" s="52"/>
      <c r="G25" s="52"/>
      <c r="H25" s="52"/>
      <c r="I25" s="52"/>
      <c r="J25" s="52"/>
      <c r="K25" s="50"/>
      <c r="L25" s="51" t="s">
        <v>7</v>
      </c>
      <c r="M25" s="50"/>
      <c r="N25" s="50"/>
      <c r="O25" s="51"/>
      <c r="P25" s="51"/>
      <c r="Q25" s="3" t="s">
        <v>152</v>
      </c>
    </row>
    <row r="26" spans="1:18" ht="13.2">
      <c r="A26" s="3">
        <v>5</v>
      </c>
      <c r="B26" s="3" t="s">
        <v>214</v>
      </c>
      <c r="C26" s="3">
        <v>2020</v>
      </c>
      <c r="D26" s="3" t="s">
        <v>215</v>
      </c>
      <c r="E26" s="31" t="s">
        <v>216</v>
      </c>
      <c r="F26" s="52"/>
      <c r="G26" s="52"/>
      <c r="H26" s="52"/>
      <c r="I26" s="52"/>
      <c r="J26" s="52"/>
      <c r="K26" s="50"/>
      <c r="L26" s="51" t="s">
        <v>7</v>
      </c>
      <c r="M26" s="50"/>
      <c r="N26" s="50"/>
      <c r="O26" s="51"/>
      <c r="P26" s="51"/>
      <c r="Q26" s="3" t="s">
        <v>152</v>
      </c>
    </row>
    <row r="27" spans="1:18" ht="13.2">
      <c r="A27" s="3">
        <v>5</v>
      </c>
      <c r="B27" s="3" t="s">
        <v>217</v>
      </c>
      <c r="C27" s="3">
        <v>2020</v>
      </c>
      <c r="D27" s="3" t="s">
        <v>218</v>
      </c>
      <c r="E27" s="31" t="s">
        <v>219</v>
      </c>
      <c r="F27" s="53" t="s">
        <v>7</v>
      </c>
      <c r="G27" s="52"/>
      <c r="H27" s="52"/>
      <c r="I27" s="52"/>
      <c r="J27" s="52"/>
      <c r="K27" s="50"/>
      <c r="L27" s="50"/>
      <c r="M27" s="50"/>
      <c r="N27" s="50"/>
      <c r="O27" s="50"/>
      <c r="P27" s="51"/>
      <c r="Q27" s="3" t="s">
        <v>152</v>
      </c>
    </row>
    <row r="28" spans="1:18" ht="13.2">
      <c r="A28" s="3">
        <v>5</v>
      </c>
      <c r="B28" s="3" t="s">
        <v>220</v>
      </c>
      <c r="C28" s="3">
        <v>2021</v>
      </c>
      <c r="D28" s="3" t="s">
        <v>221</v>
      </c>
      <c r="E28" s="31" t="s">
        <v>222</v>
      </c>
      <c r="F28" s="53" t="s">
        <v>7</v>
      </c>
      <c r="G28" s="52"/>
      <c r="H28" s="52"/>
      <c r="I28" s="52"/>
      <c r="J28" s="52"/>
      <c r="K28" s="50"/>
      <c r="L28" s="50"/>
      <c r="M28" s="50"/>
      <c r="N28" s="50"/>
      <c r="O28" s="50"/>
      <c r="P28" s="50"/>
      <c r="Q28" s="3" t="s">
        <v>152</v>
      </c>
    </row>
    <row r="29" spans="1:18" ht="13.2">
      <c r="A29" s="3">
        <v>5</v>
      </c>
      <c r="B29" s="3" t="s">
        <v>223</v>
      </c>
      <c r="C29" s="3">
        <v>2020</v>
      </c>
      <c r="D29" s="3" t="s">
        <v>224</v>
      </c>
      <c r="E29" s="31" t="s">
        <v>225</v>
      </c>
      <c r="F29" s="53" t="s">
        <v>7</v>
      </c>
      <c r="G29" s="52"/>
      <c r="H29" s="52"/>
      <c r="I29" s="52"/>
      <c r="J29" s="52"/>
      <c r="K29" s="50"/>
      <c r="L29" s="50"/>
      <c r="M29" s="50"/>
      <c r="N29" s="50"/>
      <c r="O29" s="50"/>
      <c r="P29" s="50"/>
      <c r="Q29" s="3" t="s">
        <v>152</v>
      </c>
    </row>
    <row r="30" spans="1:18" ht="13.2">
      <c r="A30" s="3">
        <v>5</v>
      </c>
      <c r="B30" s="3" t="s">
        <v>226</v>
      </c>
      <c r="C30" s="3">
        <v>2018</v>
      </c>
      <c r="D30" s="3" t="s">
        <v>212</v>
      </c>
      <c r="E30" s="31" t="s">
        <v>227</v>
      </c>
      <c r="F30" s="52"/>
      <c r="G30" s="52"/>
      <c r="H30" s="52"/>
      <c r="I30" s="52"/>
      <c r="J30" s="52"/>
      <c r="K30" s="50"/>
      <c r="L30" s="51" t="s">
        <v>7</v>
      </c>
      <c r="M30" s="50"/>
      <c r="N30" s="50"/>
      <c r="O30" s="50"/>
      <c r="P30" s="51"/>
      <c r="Q30" s="3" t="s">
        <v>152</v>
      </c>
    </row>
    <row r="31" spans="1:18" ht="13.2">
      <c r="A31" s="3">
        <v>5</v>
      </c>
      <c r="B31" s="3" t="s">
        <v>228</v>
      </c>
      <c r="C31" s="3">
        <v>2018</v>
      </c>
      <c r="D31" s="3" t="s">
        <v>212</v>
      </c>
      <c r="E31" s="31" t="s">
        <v>229</v>
      </c>
      <c r="F31" s="52"/>
      <c r="G31" s="52"/>
      <c r="H31" s="52"/>
      <c r="I31" s="52"/>
      <c r="J31" s="52"/>
      <c r="K31" s="50"/>
      <c r="L31" s="51" t="s">
        <v>7</v>
      </c>
      <c r="M31" s="50"/>
      <c r="N31" s="50"/>
      <c r="O31" s="50"/>
      <c r="P31" s="51"/>
      <c r="Q31" s="3" t="s">
        <v>152</v>
      </c>
    </row>
    <row r="32" spans="1:18" ht="13.2">
      <c r="A32" s="3">
        <v>5</v>
      </c>
      <c r="B32" s="3" t="s">
        <v>230</v>
      </c>
      <c r="C32" s="3">
        <v>2019</v>
      </c>
      <c r="D32" s="3" t="s">
        <v>231</v>
      </c>
      <c r="E32" s="30" t="s">
        <v>232</v>
      </c>
      <c r="F32" s="53" t="s">
        <v>7</v>
      </c>
      <c r="G32" s="52"/>
      <c r="H32" s="52"/>
      <c r="I32" s="52"/>
      <c r="J32" s="52"/>
      <c r="K32" s="50"/>
      <c r="L32" s="50"/>
      <c r="M32" s="50"/>
      <c r="N32" s="50"/>
      <c r="O32" s="50"/>
      <c r="P32" s="51"/>
      <c r="Q32" s="3" t="s">
        <v>152</v>
      </c>
      <c r="R32" s="3" t="s">
        <v>233</v>
      </c>
    </row>
    <row r="33" spans="1:18" ht="13.2">
      <c r="A33" s="3">
        <v>5</v>
      </c>
      <c r="B33" s="3" t="s">
        <v>234</v>
      </c>
      <c r="C33" s="3">
        <v>2020</v>
      </c>
      <c r="D33" s="3" t="s">
        <v>235</v>
      </c>
      <c r="E33" s="31" t="s">
        <v>236</v>
      </c>
      <c r="F33" s="53" t="s">
        <v>7</v>
      </c>
      <c r="G33" s="53" t="s">
        <v>7</v>
      </c>
      <c r="H33" s="52"/>
      <c r="I33" s="52"/>
      <c r="J33" s="52"/>
      <c r="K33" s="50"/>
      <c r="L33" s="50"/>
      <c r="M33" s="50"/>
      <c r="N33" s="50"/>
      <c r="O33" s="50"/>
      <c r="P33" s="50"/>
      <c r="Q33" s="3" t="s">
        <v>152</v>
      </c>
    </row>
    <row r="34" spans="1:18" ht="13.2">
      <c r="A34" s="3">
        <v>5</v>
      </c>
      <c r="B34" s="3" t="s">
        <v>237</v>
      </c>
      <c r="C34" s="3">
        <v>2020</v>
      </c>
      <c r="D34" s="3" t="s">
        <v>238</v>
      </c>
      <c r="E34" s="31" t="s">
        <v>239</v>
      </c>
      <c r="F34" s="53" t="s">
        <v>7</v>
      </c>
      <c r="G34" s="52"/>
      <c r="H34" s="52"/>
      <c r="I34" s="52"/>
      <c r="J34" s="52"/>
      <c r="K34" s="50"/>
      <c r="L34" s="50"/>
      <c r="M34" s="50"/>
      <c r="N34" s="50"/>
      <c r="O34" s="50"/>
      <c r="P34" s="50"/>
      <c r="Q34" s="3" t="s">
        <v>152</v>
      </c>
    </row>
    <row r="35" spans="1:18" ht="13.2">
      <c r="A35" s="3">
        <v>5</v>
      </c>
      <c r="B35" s="3" t="s">
        <v>240</v>
      </c>
      <c r="C35" s="3">
        <v>2023</v>
      </c>
      <c r="D35" s="3" t="s">
        <v>241</v>
      </c>
      <c r="E35" s="31" t="s">
        <v>242</v>
      </c>
      <c r="F35" s="52"/>
      <c r="G35" s="52"/>
      <c r="H35" s="52"/>
      <c r="I35" s="52"/>
      <c r="J35" s="55"/>
      <c r="K35" s="50"/>
      <c r="L35" s="50"/>
      <c r="M35" s="50"/>
      <c r="N35" s="50"/>
      <c r="O35" s="51"/>
      <c r="P35" s="51" t="s">
        <v>7</v>
      </c>
      <c r="Q35" s="3" t="s">
        <v>152</v>
      </c>
    </row>
    <row r="36" spans="1:18" ht="13.2">
      <c r="A36" s="3">
        <v>5</v>
      </c>
      <c r="B36" s="3" t="s">
        <v>243</v>
      </c>
      <c r="C36" s="3">
        <v>2023</v>
      </c>
      <c r="D36" s="3" t="s">
        <v>244</v>
      </c>
      <c r="E36" s="31" t="s">
        <v>245</v>
      </c>
      <c r="F36" s="53" t="s">
        <v>7</v>
      </c>
      <c r="G36" s="52"/>
      <c r="H36" s="52"/>
      <c r="I36" s="52"/>
      <c r="J36" s="55"/>
      <c r="K36" s="50"/>
      <c r="L36" s="50"/>
      <c r="M36" s="50"/>
      <c r="N36" s="50"/>
      <c r="O36" s="50"/>
      <c r="P36" s="51"/>
      <c r="Q36" s="3" t="s">
        <v>152</v>
      </c>
    </row>
    <row r="37" spans="1:18" ht="13.2">
      <c r="A37" s="3">
        <v>5</v>
      </c>
      <c r="B37" s="3" t="s">
        <v>246</v>
      </c>
      <c r="C37" s="3">
        <v>2017</v>
      </c>
      <c r="D37" s="3" t="s">
        <v>247</v>
      </c>
      <c r="E37" s="31" t="s">
        <v>248</v>
      </c>
      <c r="F37" s="52"/>
      <c r="G37" s="52"/>
      <c r="H37" s="52"/>
      <c r="I37" s="52"/>
      <c r="J37" s="52"/>
      <c r="K37" s="50"/>
      <c r="L37" s="51" t="s">
        <v>7</v>
      </c>
      <c r="M37" s="50"/>
      <c r="N37" s="50"/>
      <c r="O37" s="50"/>
      <c r="P37" s="51"/>
      <c r="Q37" s="3" t="s">
        <v>152</v>
      </c>
    </row>
    <row r="38" spans="1:18" ht="13.2">
      <c r="A38" s="3">
        <v>5</v>
      </c>
      <c r="B38" s="3" t="s">
        <v>249</v>
      </c>
      <c r="C38" s="3">
        <v>2022</v>
      </c>
      <c r="D38" s="3" t="s">
        <v>250</v>
      </c>
      <c r="E38" s="31" t="s">
        <v>251</v>
      </c>
      <c r="F38" s="52"/>
      <c r="G38" s="52"/>
      <c r="H38" s="52"/>
      <c r="I38" s="52"/>
      <c r="J38" s="52"/>
      <c r="K38" s="50"/>
      <c r="L38" s="50"/>
      <c r="M38" s="50"/>
      <c r="N38" s="50"/>
      <c r="O38" s="50"/>
      <c r="P38" s="51" t="s">
        <v>7</v>
      </c>
      <c r="Q38" s="3" t="s">
        <v>152</v>
      </c>
    </row>
    <row r="39" spans="1:18" ht="13.2">
      <c r="A39" s="3">
        <v>5</v>
      </c>
      <c r="B39" s="3" t="s">
        <v>252</v>
      </c>
      <c r="C39" s="3">
        <v>2018</v>
      </c>
      <c r="D39" s="3" t="s">
        <v>212</v>
      </c>
      <c r="E39" s="31" t="s">
        <v>253</v>
      </c>
      <c r="F39" s="52"/>
      <c r="G39" s="52"/>
      <c r="H39" s="52"/>
      <c r="I39" s="52"/>
      <c r="J39" s="52"/>
      <c r="K39" s="50"/>
      <c r="L39" s="51" t="s">
        <v>7</v>
      </c>
      <c r="M39" s="50"/>
      <c r="N39" s="50"/>
      <c r="O39" s="50"/>
      <c r="P39" s="51"/>
      <c r="Q39" s="3" t="s">
        <v>152</v>
      </c>
    </row>
    <row r="40" spans="1:18" ht="13.2">
      <c r="A40" s="3">
        <v>7</v>
      </c>
      <c r="B40" s="3" t="s">
        <v>254</v>
      </c>
      <c r="C40" s="3">
        <v>2022</v>
      </c>
      <c r="D40" s="3" t="s">
        <v>255</v>
      </c>
      <c r="E40" s="31" t="s">
        <v>256</v>
      </c>
      <c r="F40" s="53" t="s">
        <v>7</v>
      </c>
      <c r="G40" s="52"/>
      <c r="H40" s="53" t="s">
        <v>7</v>
      </c>
      <c r="I40" s="52"/>
      <c r="J40" s="52"/>
      <c r="K40" s="50"/>
      <c r="L40" s="50"/>
      <c r="M40" s="50"/>
      <c r="N40" s="50"/>
      <c r="O40" s="50"/>
      <c r="P40" s="50"/>
      <c r="Q40" s="3" t="s">
        <v>152</v>
      </c>
      <c r="R40" s="3" t="s">
        <v>257</v>
      </c>
    </row>
    <row r="41" spans="1:18" ht="13.2">
      <c r="A41" s="3">
        <v>7</v>
      </c>
      <c r="B41" s="3" t="s">
        <v>258</v>
      </c>
      <c r="C41" s="3">
        <v>2019</v>
      </c>
      <c r="D41" s="3" t="s">
        <v>259</v>
      </c>
      <c r="E41" s="31" t="s">
        <v>260</v>
      </c>
      <c r="F41" s="52"/>
      <c r="G41" s="52"/>
      <c r="H41" s="52"/>
      <c r="I41" s="52"/>
      <c r="J41" s="52"/>
      <c r="K41" s="50"/>
      <c r="L41" s="50"/>
      <c r="M41" s="50"/>
      <c r="N41" s="50"/>
      <c r="O41" s="50"/>
      <c r="P41" s="51" t="s">
        <v>7</v>
      </c>
      <c r="Q41" s="3" t="s">
        <v>152</v>
      </c>
    </row>
    <row r="42" spans="1:18" ht="13.2">
      <c r="A42" s="3">
        <v>7</v>
      </c>
      <c r="B42" s="3" t="s">
        <v>261</v>
      </c>
      <c r="C42" s="3">
        <v>2019</v>
      </c>
      <c r="D42" s="3" t="s">
        <v>262</v>
      </c>
      <c r="E42" s="31" t="s">
        <v>263</v>
      </c>
      <c r="F42" s="52"/>
      <c r="G42" s="52"/>
      <c r="H42" s="52"/>
      <c r="I42" s="52"/>
      <c r="J42" s="52"/>
      <c r="K42" s="50"/>
      <c r="L42" s="50"/>
      <c r="M42" s="50"/>
      <c r="N42" s="50"/>
      <c r="O42" s="50"/>
      <c r="P42" s="51" t="s">
        <v>7</v>
      </c>
      <c r="Q42" s="3" t="s">
        <v>152</v>
      </c>
    </row>
    <row r="43" spans="1:18" ht="13.2">
      <c r="A43" s="3">
        <v>7</v>
      </c>
      <c r="B43" s="3" t="s">
        <v>264</v>
      </c>
      <c r="C43" s="3">
        <v>2017</v>
      </c>
      <c r="D43" s="3" t="s">
        <v>259</v>
      </c>
      <c r="E43" s="31" t="s">
        <v>265</v>
      </c>
      <c r="F43" s="52"/>
      <c r="G43" s="52"/>
      <c r="H43" s="52"/>
      <c r="I43" s="52"/>
      <c r="J43" s="52"/>
      <c r="K43" s="50"/>
      <c r="L43" s="50"/>
      <c r="M43" s="50"/>
      <c r="N43" s="50"/>
      <c r="O43" s="50"/>
      <c r="P43" s="51" t="s">
        <v>7</v>
      </c>
      <c r="Q43" s="3" t="s">
        <v>152</v>
      </c>
    </row>
    <row r="44" spans="1:18" ht="13.2">
      <c r="A44" s="3">
        <v>8</v>
      </c>
      <c r="B44" s="3" t="s">
        <v>266</v>
      </c>
      <c r="C44" s="3">
        <v>2019</v>
      </c>
      <c r="D44" s="3" t="s">
        <v>267</v>
      </c>
      <c r="E44" s="31" t="s">
        <v>268</v>
      </c>
      <c r="F44" s="52"/>
      <c r="G44" s="52"/>
      <c r="H44" s="52"/>
      <c r="I44" s="52"/>
      <c r="J44" s="52"/>
      <c r="K44" s="50"/>
      <c r="L44" s="50"/>
      <c r="M44" s="50"/>
      <c r="N44" s="51" t="s">
        <v>7</v>
      </c>
      <c r="O44" s="50"/>
      <c r="P44" s="50"/>
      <c r="Q44" s="3" t="s">
        <v>152</v>
      </c>
      <c r="R44" s="3" t="s">
        <v>269</v>
      </c>
    </row>
    <row r="45" spans="1:18" ht="13.2">
      <c r="A45" s="3">
        <v>8</v>
      </c>
      <c r="B45" s="3" t="s">
        <v>270</v>
      </c>
      <c r="C45" s="3">
        <v>2021</v>
      </c>
      <c r="D45" s="3" t="s">
        <v>271</v>
      </c>
      <c r="E45" s="30" t="s">
        <v>272</v>
      </c>
      <c r="F45" s="52"/>
      <c r="G45" s="52"/>
      <c r="H45" s="52"/>
      <c r="I45" s="52"/>
      <c r="J45" s="52"/>
      <c r="K45" s="51" t="s">
        <v>7</v>
      </c>
      <c r="L45" s="50"/>
      <c r="M45" s="50"/>
      <c r="N45" s="50"/>
      <c r="O45" s="50"/>
      <c r="P45" s="50"/>
      <c r="Q45" s="3" t="s">
        <v>152</v>
      </c>
    </row>
    <row r="46" spans="1:18" ht="13.2">
      <c r="A46" s="3">
        <v>8</v>
      </c>
      <c r="B46" s="3" t="s">
        <v>273</v>
      </c>
      <c r="C46" s="3">
        <v>2018</v>
      </c>
      <c r="D46" s="3" t="s">
        <v>274</v>
      </c>
      <c r="E46" s="30" t="s">
        <v>275</v>
      </c>
      <c r="F46" s="52"/>
      <c r="G46" s="52"/>
      <c r="H46" s="52"/>
      <c r="I46" s="52"/>
      <c r="J46" s="52"/>
      <c r="K46" s="50"/>
      <c r="L46" s="50"/>
      <c r="M46" s="50"/>
      <c r="N46" s="51" t="s">
        <v>7</v>
      </c>
      <c r="O46" s="50"/>
      <c r="P46" s="50"/>
      <c r="Q46" s="3" t="s">
        <v>152</v>
      </c>
    </row>
    <row r="47" spans="1:18" ht="14.4">
      <c r="A47" s="3">
        <v>8</v>
      </c>
      <c r="B47" s="3" t="s">
        <v>276</v>
      </c>
      <c r="C47" s="56">
        <v>2019</v>
      </c>
      <c r="D47" s="57" t="s">
        <v>277</v>
      </c>
      <c r="E47" s="58" t="s">
        <v>278</v>
      </c>
      <c r="F47" s="52"/>
      <c r="G47" s="52"/>
      <c r="H47" s="52"/>
      <c r="I47" s="52"/>
      <c r="J47" s="52"/>
      <c r="K47" s="50"/>
      <c r="L47" s="50"/>
      <c r="M47" s="50"/>
      <c r="N47" s="50"/>
      <c r="O47" s="51" t="s">
        <v>7</v>
      </c>
      <c r="P47" s="51"/>
      <c r="Q47" s="3" t="s">
        <v>152</v>
      </c>
    </row>
    <row r="48" spans="1:18" ht="13.2">
      <c r="A48" s="3">
        <v>8</v>
      </c>
      <c r="B48" s="3" t="s">
        <v>64</v>
      </c>
      <c r="C48" s="3">
        <v>2015</v>
      </c>
      <c r="D48" s="3" t="s">
        <v>65</v>
      </c>
      <c r="E48" s="31" t="s">
        <v>66</v>
      </c>
      <c r="F48" s="52"/>
      <c r="G48" s="52"/>
      <c r="H48" s="52"/>
      <c r="I48" s="52"/>
      <c r="J48" s="52"/>
      <c r="K48" s="50"/>
      <c r="L48" s="50"/>
      <c r="M48" s="50"/>
      <c r="N48" s="50"/>
      <c r="O48" s="50"/>
      <c r="P48" s="50"/>
      <c r="Q48" s="3" t="s">
        <v>176</v>
      </c>
      <c r="R48" s="3" t="s">
        <v>67</v>
      </c>
    </row>
    <row r="49" spans="1:18" ht="13.2">
      <c r="A49" s="3" t="s">
        <v>279</v>
      </c>
      <c r="B49" s="3" t="s">
        <v>280</v>
      </c>
      <c r="C49" s="3">
        <v>2022</v>
      </c>
      <c r="D49" s="3" t="s">
        <v>281</v>
      </c>
      <c r="E49" s="31" t="s">
        <v>282</v>
      </c>
      <c r="F49" s="52"/>
      <c r="G49" s="52"/>
      <c r="H49" s="53" t="s">
        <v>7</v>
      </c>
      <c r="I49" s="52"/>
      <c r="J49" s="52"/>
      <c r="K49" s="50"/>
      <c r="L49" s="50"/>
      <c r="M49" s="50"/>
      <c r="N49" s="50"/>
      <c r="O49" s="50"/>
      <c r="P49" s="50"/>
      <c r="Q49" s="3" t="s">
        <v>152</v>
      </c>
    </row>
    <row r="50" spans="1:18" ht="13.2">
      <c r="A50" s="3">
        <v>8</v>
      </c>
      <c r="B50" s="3" t="s">
        <v>283</v>
      </c>
      <c r="C50" s="3">
        <v>2020</v>
      </c>
      <c r="D50" s="3" t="s">
        <v>284</v>
      </c>
      <c r="E50" s="31" t="s">
        <v>285</v>
      </c>
      <c r="F50" s="52"/>
      <c r="G50" s="52"/>
      <c r="H50" s="53" t="s">
        <v>286</v>
      </c>
      <c r="I50" s="52"/>
      <c r="J50" s="52"/>
      <c r="K50" s="51" t="s">
        <v>7</v>
      </c>
      <c r="L50" s="50"/>
      <c r="M50" s="50"/>
      <c r="N50" s="50"/>
      <c r="O50" s="50"/>
      <c r="P50" s="50"/>
      <c r="Q50" s="3" t="s">
        <v>152</v>
      </c>
    </row>
    <row r="51" spans="1:18" ht="13.2">
      <c r="A51" s="3">
        <v>8</v>
      </c>
      <c r="B51" s="3" t="s">
        <v>287</v>
      </c>
      <c r="C51" s="3">
        <v>2015</v>
      </c>
      <c r="D51" s="3" t="s">
        <v>288</v>
      </c>
      <c r="E51" s="59" t="s">
        <v>289</v>
      </c>
      <c r="F51" s="52"/>
      <c r="G51" s="52"/>
      <c r="H51" s="52"/>
      <c r="I51" s="52"/>
      <c r="J51" s="52"/>
      <c r="K51" s="50"/>
      <c r="L51" s="50"/>
      <c r="M51" s="50"/>
      <c r="N51" s="50"/>
      <c r="O51" s="51" t="s">
        <v>7</v>
      </c>
      <c r="P51" s="51"/>
      <c r="Q51" s="3" t="s">
        <v>152</v>
      </c>
    </row>
    <row r="52" spans="1:18" ht="13.2">
      <c r="A52" s="3">
        <v>8</v>
      </c>
      <c r="B52" s="3" t="s">
        <v>290</v>
      </c>
      <c r="C52" s="3">
        <v>2019</v>
      </c>
      <c r="D52" s="3" t="s">
        <v>291</v>
      </c>
      <c r="E52" s="30" t="s">
        <v>292</v>
      </c>
      <c r="F52" s="52"/>
      <c r="G52" s="52"/>
      <c r="H52" s="53" t="s">
        <v>7</v>
      </c>
      <c r="I52" s="52"/>
      <c r="J52" s="52"/>
      <c r="K52" s="51" t="s">
        <v>7</v>
      </c>
      <c r="L52" s="50"/>
      <c r="M52" s="50"/>
      <c r="N52" s="50"/>
      <c r="O52" s="50"/>
      <c r="P52" s="50"/>
      <c r="Q52" s="3" t="s">
        <v>152</v>
      </c>
      <c r="R52" s="3" t="s">
        <v>293</v>
      </c>
    </row>
    <row r="53" spans="1:18" ht="13.2">
      <c r="A53" s="3">
        <v>8</v>
      </c>
      <c r="B53" s="3" t="s">
        <v>294</v>
      </c>
      <c r="C53" s="20">
        <v>2015</v>
      </c>
      <c r="D53" s="19" t="s">
        <v>51</v>
      </c>
      <c r="E53" s="60" t="s">
        <v>53</v>
      </c>
      <c r="F53" s="52"/>
      <c r="G53" s="52"/>
      <c r="H53" s="52"/>
      <c r="I53" s="52"/>
      <c r="J53" s="52"/>
      <c r="K53" s="50"/>
      <c r="L53" s="50"/>
      <c r="M53" s="50"/>
      <c r="N53" s="50"/>
      <c r="O53" s="51" t="s">
        <v>7</v>
      </c>
      <c r="P53" s="51"/>
      <c r="Q53" s="3" t="s">
        <v>176</v>
      </c>
      <c r="R53" s="3" t="s">
        <v>295</v>
      </c>
    </row>
    <row r="54" spans="1:18" ht="13.2">
      <c r="A54" s="3">
        <v>8</v>
      </c>
      <c r="B54" s="3" t="s">
        <v>296</v>
      </c>
      <c r="C54" s="3">
        <v>2019</v>
      </c>
      <c r="D54" s="3" t="s">
        <v>297</v>
      </c>
      <c r="E54" s="31" t="s">
        <v>298</v>
      </c>
      <c r="F54" s="52"/>
      <c r="G54" s="52"/>
      <c r="H54" s="52"/>
      <c r="I54" s="52"/>
      <c r="J54" s="52"/>
      <c r="K54" s="50"/>
      <c r="L54" s="50"/>
      <c r="M54" s="50"/>
      <c r="N54" s="50"/>
      <c r="O54" s="50"/>
      <c r="P54" s="51" t="s">
        <v>7</v>
      </c>
      <c r="Q54" s="3" t="s">
        <v>152</v>
      </c>
    </row>
    <row r="55" spans="1:18" ht="13.2">
      <c r="A55" s="3">
        <v>8</v>
      </c>
      <c r="B55" s="3" t="s">
        <v>299</v>
      </c>
      <c r="C55" s="3">
        <v>2016</v>
      </c>
      <c r="D55" s="3" t="s">
        <v>300</v>
      </c>
      <c r="E55" s="31" t="s">
        <v>301</v>
      </c>
      <c r="F55" s="52"/>
      <c r="G55" s="52"/>
      <c r="H55" s="53" t="s">
        <v>7</v>
      </c>
      <c r="I55" s="52"/>
      <c r="J55" s="52"/>
      <c r="K55" s="50"/>
      <c r="L55" s="50"/>
      <c r="M55" s="50"/>
      <c r="N55" s="50"/>
      <c r="O55" s="50"/>
      <c r="P55" s="50"/>
      <c r="Q55" s="3" t="s">
        <v>152</v>
      </c>
      <c r="R55" s="3" t="s">
        <v>207</v>
      </c>
    </row>
    <row r="56" spans="1:18" ht="13.2">
      <c r="A56" s="3">
        <v>8</v>
      </c>
      <c r="B56" s="3" t="s">
        <v>302</v>
      </c>
      <c r="C56" s="3">
        <v>2020</v>
      </c>
      <c r="D56" s="3" t="s">
        <v>303</v>
      </c>
      <c r="E56" s="31" t="s">
        <v>304</v>
      </c>
      <c r="F56" s="52"/>
      <c r="G56" s="52"/>
      <c r="H56" s="52"/>
      <c r="I56" s="52"/>
      <c r="J56" s="52"/>
      <c r="K56" s="50"/>
      <c r="L56" s="50"/>
      <c r="M56" s="50"/>
      <c r="N56" s="50"/>
      <c r="O56" s="50"/>
      <c r="P56" s="51" t="s">
        <v>7</v>
      </c>
      <c r="Q56" s="3" t="s">
        <v>152</v>
      </c>
    </row>
    <row r="57" spans="1:18" ht="13.2">
      <c r="A57" s="3">
        <v>8</v>
      </c>
      <c r="B57" s="3" t="s">
        <v>305</v>
      </c>
      <c r="C57" s="3">
        <v>2019</v>
      </c>
      <c r="D57" s="3" t="s">
        <v>306</v>
      </c>
      <c r="E57" s="31" t="s">
        <v>307</v>
      </c>
      <c r="F57" s="52"/>
      <c r="G57" s="52"/>
      <c r="H57" s="52"/>
      <c r="I57" s="52"/>
      <c r="J57" s="52"/>
      <c r="K57" s="50"/>
      <c r="L57" s="50"/>
      <c r="M57" s="50"/>
      <c r="N57" s="51" t="s">
        <v>7</v>
      </c>
      <c r="O57" s="50"/>
      <c r="P57" s="51"/>
      <c r="Q57" s="3" t="s">
        <v>152</v>
      </c>
    </row>
    <row r="58" spans="1:18" ht="13.2">
      <c r="A58" s="3" t="s">
        <v>308</v>
      </c>
      <c r="B58" s="3" t="s">
        <v>309</v>
      </c>
      <c r="C58" s="3">
        <v>2017</v>
      </c>
      <c r="D58" s="3" t="s">
        <v>310</v>
      </c>
      <c r="E58" s="31" t="s">
        <v>311</v>
      </c>
      <c r="F58" s="52"/>
      <c r="G58" s="52"/>
      <c r="H58" s="52"/>
      <c r="I58" s="52"/>
      <c r="J58" s="52"/>
      <c r="K58" s="50"/>
      <c r="L58" s="50"/>
      <c r="M58" s="50"/>
      <c r="N58" s="50"/>
      <c r="O58" s="50"/>
      <c r="P58" s="51" t="s">
        <v>7</v>
      </c>
      <c r="Q58" s="3" t="s">
        <v>152</v>
      </c>
    </row>
    <row r="59" spans="1:18" ht="13.2">
      <c r="A59" s="3" t="s">
        <v>116</v>
      </c>
      <c r="B59" s="3" t="s">
        <v>312</v>
      </c>
      <c r="C59" s="3">
        <v>2017</v>
      </c>
      <c r="D59" s="3" t="s">
        <v>313</v>
      </c>
      <c r="E59" s="31" t="s">
        <v>314</v>
      </c>
      <c r="F59" s="52"/>
      <c r="G59" s="52"/>
      <c r="H59" s="52"/>
      <c r="I59" s="52"/>
      <c r="J59" s="52"/>
      <c r="K59" s="50"/>
      <c r="L59" s="50"/>
      <c r="M59" s="50"/>
      <c r="N59" s="50"/>
      <c r="O59" s="50"/>
      <c r="P59" s="51" t="s">
        <v>7</v>
      </c>
      <c r="Q59" s="3" t="s">
        <v>152</v>
      </c>
    </row>
    <row r="60" spans="1:18" ht="13.2">
      <c r="A60" s="3">
        <v>8</v>
      </c>
      <c r="B60" s="3" t="s">
        <v>315</v>
      </c>
      <c r="C60" s="3">
        <v>2015</v>
      </c>
      <c r="D60" s="3" t="s">
        <v>316</v>
      </c>
      <c r="E60" s="30" t="s">
        <v>317</v>
      </c>
      <c r="F60" s="52"/>
      <c r="G60" s="52"/>
      <c r="H60" s="52"/>
      <c r="I60" s="53" t="s">
        <v>7</v>
      </c>
      <c r="J60" s="52"/>
      <c r="K60" s="50"/>
      <c r="L60" s="50"/>
      <c r="M60" s="50"/>
      <c r="N60" s="50"/>
      <c r="O60" s="50"/>
      <c r="P60" s="50"/>
      <c r="Q60" s="3" t="s">
        <v>152</v>
      </c>
      <c r="R60" s="3" t="s">
        <v>318</v>
      </c>
    </row>
    <row r="61" spans="1:18" ht="13.2">
      <c r="A61" s="3">
        <v>8</v>
      </c>
      <c r="B61" s="3" t="s">
        <v>319</v>
      </c>
      <c r="C61" s="3">
        <v>2013</v>
      </c>
      <c r="D61" s="3" t="s">
        <v>320</v>
      </c>
      <c r="E61" s="31" t="s">
        <v>321</v>
      </c>
      <c r="F61" s="52"/>
      <c r="G61" s="52"/>
      <c r="H61" s="52"/>
      <c r="I61" s="52"/>
      <c r="J61" s="52"/>
      <c r="K61" s="50"/>
      <c r="L61" s="51" t="s">
        <v>7</v>
      </c>
      <c r="M61" s="50"/>
      <c r="N61" s="50"/>
      <c r="O61" s="50"/>
      <c r="P61" s="51" t="s">
        <v>7</v>
      </c>
      <c r="Q61" s="3" t="s">
        <v>152</v>
      </c>
    </row>
    <row r="62" spans="1:18" ht="13.2">
      <c r="A62" s="3">
        <v>9</v>
      </c>
      <c r="B62" s="3" t="s">
        <v>322</v>
      </c>
      <c r="C62" s="3">
        <v>2022</v>
      </c>
      <c r="D62" s="3" t="s">
        <v>323</v>
      </c>
      <c r="E62" s="30" t="s">
        <v>324</v>
      </c>
      <c r="F62" s="53" t="s">
        <v>7</v>
      </c>
      <c r="G62" s="52"/>
      <c r="H62" s="52"/>
      <c r="I62" s="52"/>
      <c r="J62" s="52"/>
      <c r="K62" s="50"/>
      <c r="L62" s="50"/>
      <c r="M62" s="50"/>
      <c r="N62" s="50"/>
      <c r="O62" s="50"/>
      <c r="P62" s="50"/>
      <c r="Q62" s="3" t="s">
        <v>152</v>
      </c>
      <c r="R62" s="3" t="s">
        <v>325</v>
      </c>
    </row>
    <row r="63" spans="1:18" ht="13.2">
      <c r="A63" s="3">
        <v>9</v>
      </c>
      <c r="B63" s="3" t="s">
        <v>326</v>
      </c>
      <c r="C63" s="3">
        <v>2021</v>
      </c>
      <c r="D63" s="3" t="s">
        <v>327</v>
      </c>
      <c r="E63" s="30" t="s">
        <v>328</v>
      </c>
      <c r="F63" s="52"/>
      <c r="G63" s="52"/>
      <c r="H63" s="52"/>
      <c r="I63" s="52"/>
      <c r="J63" s="52"/>
      <c r="K63" s="50"/>
      <c r="L63" s="50"/>
      <c r="M63" s="50"/>
      <c r="N63" s="51" t="s">
        <v>7</v>
      </c>
      <c r="O63" s="50"/>
      <c r="P63" s="50"/>
      <c r="Q63" s="3" t="s">
        <v>152</v>
      </c>
    </row>
    <row r="64" spans="1:18" ht="13.2">
      <c r="A64" s="3">
        <v>9</v>
      </c>
      <c r="B64" s="3" t="s">
        <v>329</v>
      </c>
      <c r="C64" s="3">
        <v>2023</v>
      </c>
      <c r="D64" s="3" t="s">
        <v>330</v>
      </c>
      <c r="E64" s="31" t="s">
        <v>331</v>
      </c>
      <c r="F64" s="53" t="s">
        <v>7</v>
      </c>
      <c r="G64" s="53" t="s">
        <v>7</v>
      </c>
      <c r="H64" s="52"/>
      <c r="I64" s="52"/>
      <c r="J64" s="55"/>
      <c r="K64" s="50"/>
      <c r="L64" s="50"/>
      <c r="M64" s="50"/>
      <c r="N64" s="50"/>
      <c r="O64" s="50"/>
      <c r="P64" s="51"/>
      <c r="Q64" s="3" t="s">
        <v>152</v>
      </c>
      <c r="R64" s="3" t="s">
        <v>332</v>
      </c>
    </row>
    <row r="65" spans="1:18" ht="13.2">
      <c r="A65" s="3">
        <v>9</v>
      </c>
      <c r="B65" s="3" t="s">
        <v>333</v>
      </c>
      <c r="C65" s="3">
        <v>2022</v>
      </c>
      <c r="D65" s="3" t="s">
        <v>334</v>
      </c>
      <c r="E65" s="31" t="s">
        <v>335</v>
      </c>
      <c r="F65" s="53" t="s">
        <v>7</v>
      </c>
      <c r="G65" s="52"/>
      <c r="H65" s="52"/>
      <c r="I65" s="52"/>
      <c r="J65" s="52"/>
      <c r="K65" s="50"/>
      <c r="L65" s="50"/>
      <c r="M65" s="50"/>
      <c r="N65" s="50"/>
      <c r="O65" s="50"/>
      <c r="P65" s="50"/>
      <c r="Q65" s="3" t="s">
        <v>152</v>
      </c>
    </row>
    <row r="66" spans="1:18" ht="13.2">
      <c r="A66" s="3">
        <v>9</v>
      </c>
      <c r="B66" s="3" t="s">
        <v>336</v>
      </c>
      <c r="C66" s="3">
        <v>2023</v>
      </c>
      <c r="D66" s="3" t="s">
        <v>337</v>
      </c>
      <c r="E66" s="31" t="s">
        <v>338</v>
      </c>
      <c r="F66" s="53" t="s">
        <v>7</v>
      </c>
      <c r="G66" s="52"/>
      <c r="H66" s="52"/>
      <c r="I66" s="52"/>
      <c r="J66" s="55"/>
      <c r="K66" s="50"/>
      <c r="L66" s="50"/>
      <c r="M66" s="50"/>
      <c r="N66" s="50"/>
      <c r="O66" s="50"/>
      <c r="P66" s="51"/>
      <c r="Q66" s="3" t="s">
        <v>152</v>
      </c>
      <c r="R66" s="3" t="s">
        <v>339</v>
      </c>
    </row>
    <row r="67" spans="1:18" ht="13.2">
      <c r="A67" s="3">
        <v>9</v>
      </c>
      <c r="B67" s="3" t="s">
        <v>101</v>
      </c>
      <c r="C67" s="3">
        <v>2023</v>
      </c>
      <c r="D67" s="3" t="s">
        <v>102</v>
      </c>
      <c r="E67" s="31" t="s">
        <v>103</v>
      </c>
      <c r="F67" s="52"/>
      <c r="G67" s="52"/>
      <c r="H67" s="52"/>
      <c r="I67" s="52"/>
      <c r="J67" s="55"/>
      <c r="K67" s="50"/>
      <c r="L67" s="50"/>
      <c r="M67" s="50"/>
      <c r="N67" s="50"/>
      <c r="O67" s="50"/>
      <c r="P67" s="51"/>
      <c r="Q67" s="3" t="s">
        <v>176</v>
      </c>
    </row>
    <row r="68" spans="1:18" ht="13.2">
      <c r="A68" s="3">
        <v>9</v>
      </c>
      <c r="B68" s="3" t="s">
        <v>340</v>
      </c>
      <c r="C68" s="3">
        <v>2022</v>
      </c>
      <c r="D68" s="3" t="s">
        <v>341</v>
      </c>
      <c r="E68" s="30" t="s">
        <v>342</v>
      </c>
      <c r="F68" s="52"/>
      <c r="G68" s="52"/>
      <c r="H68" s="52"/>
      <c r="I68" s="52"/>
      <c r="J68" s="52"/>
      <c r="K68" s="50"/>
      <c r="L68" s="50"/>
      <c r="M68" s="50"/>
      <c r="N68" s="51" t="s">
        <v>7</v>
      </c>
      <c r="O68" s="50"/>
      <c r="P68" s="50"/>
      <c r="Q68" s="3" t="s">
        <v>152</v>
      </c>
    </row>
    <row r="69" spans="1:18" ht="13.2">
      <c r="A69" s="3">
        <v>9</v>
      </c>
      <c r="B69" s="3" t="s">
        <v>343</v>
      </c>
      <c r="C69" s="3">
        <v>2022</v>
      </c>
      <c r="D69" s="3" t="s">
        <v>344</v>
      </c>
      <c r="E69" s="31" t="s">
        <v>345</v>
      </c>
      <c r="F69" s="52"/>
      <c r="G69" s="52"/>
      <c r="H69" s="53" t="s">
        <v>7</v>
      </c>
      <c r="I69" s="52"/>
      <c r="J69" s="52"/>
      <c r="K69" s="50"/>
      <c r="L69" s="50"/>
      <c r="M69" s="50"/>
      <c r="N69" s="50"/>
      <c r="O69" s="50"/>
      <c r="P69" s="50"/>
      <c r="Q69" s="3" t="s">
        <v>152</v>
      </c>
      <c r="R69" s="3" t="s">
        <v>346</v>
      </c>
    </row>
    <row r="70" spans="1:18" ht="13.2">
      <c r="A70" s="3">
        <v>9</v>
      </c>
      <c r="B70" s="3" t="s">
        <v>347</v>
      </c>
      <c r="C70" s="3">
        <v>2021</v>
      </c>
      <c r="D70" s="3" t="s">
        <v>348</v>
      </c>
      <c r="E70" s="30" t="s">
        <v>349</v>
      </c>
      <c r="F70" s="52"/>
      <c r="G70" s="52"/>
      <c r="H70" s="52"/>
      <c r="I70" s="52"/>
      <c r="J70" s="52"/>
      <c r="K70" s="50"/>
      <c r="L70" s="50"/>
      <c r="M70" s="50"/>
      <c r="N70" s="50"/>
      <c r="O70" s="50"/>
      <c r="P70" s="51" t="s">
        <v>7</v>
      </c>
      <c r="Q70" s="3" t="s">
        <v>152</v>
      </c>
    </row>
    <row r="71" spans="1:18" ht="13.2">
      <c r="A71" s="3">
        <v>9</v>
      </c>
      <c r="B71" s="3" t="s">
        <v>350</v>
      </c>
      <c r="C71" s="3">
        <v>2021</v>
      </c>
      <c r="D71" s="3" t="s">
        <v>351</v>
      </c>
      <c r="E71" s="31" t="s">
        <v>352</v>
      </c>
      <c r="F71" s="52"/>
      <c r="G71" s="52"/>
      <c r="H71" s="52"/>
      <c r="I71" s="52"/>
      <c r="J71" s="52"/>
      <c r="K71" s="50"/>
      <c r="L71" s="50"/>
      <c r="M71" s="50"/>
      <c r="N71" s="50"/>
      <c r="O71" s="51" t="s">
        <v>7</v>
      </c>
      <c r="P71" s="51"/>
      <c r="Q71" s="3" t="s">
        <v>152</v>
      </c>
    </row>
    <row r="72" spans="1:18" ht="13.2">
      <c r="A72" s="3">
        <v>9</v>
      </c>
      <c r="B72" s="3" t="s">
        <v>353</v>
      </c>
      <c r="C72" s="3">
        <v>2023</v>
      </c>
      <c r="D72" s="61" t="s">
        <v>354</v>
      </c>
      <c r="E72" s="30" t="s">
        <v>355</v>
      </c>
      <c r="F72" s="53" t="s">
        <v>7</v>
      </c>
      <c r="G72" s="52"/>
      <c r="H72" s="52"/>
      <c r="I72" s="52"/>
      <c r="J72" s="52"/>
      <c r="K72" s="50"/>
      <c r="L72" s="50"/>
      <c r="M72" s="50"/>
      <c r="N72" s="50"/>
      <c r="O72" s="51"/>
      <c r="P72" s="51"/>
      <c r="Q72" s="3" t="s">
        <v>152</v>
      </c>
    </row>
    <row r="73" spans="1:18" ht="13.2">
      <c r="A73" s="3">
        <v>9</v>
      </c>
      <c r="B73" s="3" t="s">
        <v>356</v>
      </c>
      <c r="C73" s="3">
        <v>2023</v>
      </c>
      <c r="D73" s="3" t="s">
        <v>357</v>
      </c>
      <c r="E73" s="31" t="s">
        <v>358</v>
      </c>
      <c r="F73" s="53" t="s">
        <v>7</v>
      </c>
      <c r="G73" s="52"/>
      <c r="H73" s="52"/>
      <c r="I73" s="52"/>
      <c r="J73" s="52"/>
      <c r="K73" s="50"/>
      <c r="L73" s="50"/>
      <c r="M73" s="50"/>
      <c r="N73" s="50"/>
      <c r="O73" s="51"/>
      <c r="P73" s="51"/>
      <c r="Q73" s="3" t="s">
        <v>152</v>
      </c>
    </row>
    <row r="74" spans="1:18" ht="13.2">
      <c r="A74" s="3">
        <v>9</v>
      </c>
      <c r="B74" s="3" t="s">
        <v>359</v>
      </c>
      <c r="C74" s="3">
        <v>2024</v>
      </c>
      <c r="D74" s="3" t="s">
        <v>360</v>
      </c>
      <c r="E74" s="31" t="s">
        <v>361</v>
      </c>
      <c r="F74" s="52"/>
      <c r="G74" s="52"/>
      <c r="H74" s="52"/>
      <c r="I74" s="52"/>
      <c r="J74" s="52"/>
      <c r="K74" s="50"/>
      <c r="L74" s="50"/>
      <c r="M74" s="50"/>
      <c r="N74" s="51" t="s">
        <v>7</v>
      </c>
      <c r="O74" s="51"/>
      <c r="P74" s="51"/>
      <c r="Q74" s="3" t="s">
        <v>152</v>
      </c>
    </row>
    <row r="75" spans="1:18" ht="13.2">
      <c r="A75" s="3">
        <v>9</v>
      </c>
      <c r="B75" s="3" t="s">
        <v>362</v>
      </c>
      <c r="C75" s="3">
        <v>2024</v>
      </c>
      <c r="D75" s="3" t="s">
        <v>363</v>
      </c>
      <c r="E75" s="31" t="s">
        <v>364</v>
      </c>
      <c r="F75" s="52"/>
      <c r="G75" s="52"/>
      <c r="H75" s="52"/>
      <c r="I75" s="53" t="s">
        <v>7</v>
      </c>
      <c r="J75" s="52"/>
      <c r="K75" s="50"/>
      <c r="L75" s="50"/>
      <c r="M75" s="50"/>
      <c r="N75" s="50"/>
      <c r="O75" s="51"/>
      <c r="P75" s="51"/>
      <c r="Q75" s="3" t="s">
        <v>152</v>
      </c>
    </row>
    <row r="76" spans="1:18" ht="13.2">
      <c r="A76" s="3" t="s">
        <v>365</v>
      </c>
      <c r="B76" s="3" t="s">
        <v>366</v>
      </c>
      <c r="C76" s="3">
        <v>2023</v>
      </c>
      <c r="D76" s="3" t="s">
        <v>367</v>
      </c>
      <c r="E76" s="31" t="s">
        <v>368</v>
      </c>
      <c r="F76" s="52"/>
      <c r="G76" s="52"/>
      <c r="H76" s="52"/>
      <c r="I76" s="52"/>
      <c r="J76" s="52"/>
      <c r="K76" s="50"/>
      <c r="L76" s="50"/>
      <c r="M76" s="50"/>
      <c r="N76" s="51" t="s">
        <v>7</v>
      </c>
      <c r="O76" s="51"/>
      <c r="P76" s="51"/>
      <c r="Q76" s="3" t="s">
        <v>152</v>
      </c>
    </row>
    <row r="77" spans="1:18" ht="13.2">
      <c r="A77" s="3">
        <v>9</v>
      </c>
      <c r="B77" s="3" t="s">
        <v>369</v>
      </c>
      <c r="C77" s="3">
        <v>2023</v>
      </c>
      <c r="D77" s="3" t="s">
        <v>370</v>
      </c>
      <c r="E77" s="31" t="s">
        <v>371</v>
      </c>
      <c r="F77" s="52"/>
      <c r="G77" s="52"/>
      <c r="H77" s="52"/>
      <c r="I77" s="53" t="s">
        <v>7</v>
      </c>
      <c r="J77" s="52"/>
      <c r="K77" s="50"/>
      <c r="L77" s="50"/>
      <c r="M77" s="50"/>
      <c r="N77" s="50"/>
      <c r="O77" s="51"/>
      <c r="P77" s="51"/>
      <c r="Q77" s="3" t="s">
        <v>152</v>
      </c>
    </row>
    <row r="78" spans="1:18" ht="13.2">
      <c r="A78" s="3">
        <v>9</v>
      </c>
      <c r="B78" s="3" t="s">
        <v>372</v>
      </c>
      <c r="C78" s="3">
        <v>2024</v>
      </c>
      <c r="D78" s="3" t="s">
        <v>373</v>
      </c>
      <c r="E78" s="31" t="s">
        <v>374</v>
      </c>
      <c r="F78" s="53" t="s">
        <v>7</v>
      </c>
      <c r="G78" s="52"/>
      <c r="H78" s="52"/>
      <c r="I78" s="52"/>
      <c r="J78" s="52"/>
      <c r="K78" s="50"/>
      <c r="L78" s="50"/>
      <c r="M78" s="50"/>
      <c r="N78" s="50"/>
      <c r="O78" s="51"/>
      <c r="P78" s="51"/>
      <c r="Q78" s="3" t="s">
        <v>152</v>
      </c>
    </row>
    <row r="79" spans="1:18" ht="13.2">
      <c r="A79" s="3">
        <v>10</v>
      </c>
      <c r="B79" s="62" t="s">
        <v>375</v>
      </c>
      <c r="C79" s="3">
        <v>2018</v>
      </c>
      <c r="D79" s="63" t="s">
        <v>376</v>
      </c>
      <c r="E79" s="64" t="s">
        <v>377</v>
      </c>
      <c r="F79" s="53" t="s">
        <v>7</v>
      </c>
      <c r="G79" s="52"/>
      <c r="H79" s="52"/>
      <c r="I79" s="52"/>
      <c r="J79" s="52"/>
      <c r="K79" s="50"/>
      <c r="L79" s="50"/>
      <c r="M79" s="50"/>
      <c r="N79" s="50"/>
      <c r="O79" s="50"/>
      <c r="P79" s="50"/>
      <c r="Q79" s="3" t="s">
        <v>152</v>
      </c>
      <c r="R79" s="3" t="s">
        <v>378</v>
      </c>
    </row>
    <row r="80" spans="1:18" ht="13.2">
      <c r="A80" s="3">
        <v>10</v>
      </c>
      <c r="B80" s="3" t="s">
        <v>379</v>
      </c>
      <c r="C80" s="3">
        <v>2019</v>
      </c>
      <c r="D80" s="3" t="s">
        <v>380</v>
      </c>
      <c r="E80" s="30" t="s">
        <v>381</v>
      </c>
      <c r="F80" s="52"/>
      <c r="G80" s="52"/>
      <c r="H80" s="53" t="s">
        <v>7</v>
      </c>
      <c r="I80" s="52"/>
      <c r="J80" s="52"/>
      <c r="K80" s="50"/>
      <c r="L80" s="50"/>
      <c r="M80" s="50"/>
      <c r="N80" s="50"/>
      <c r="O80" s="50"/>
      <c r="P80" s="50"/>
      <c r="Q80" s="3" t="s">
        <v>152</v>
      </c>
    </row>
    <row r="81" spans="1:18" ht="13.2">
      <c r="A81" s="3">
        <v>10</v>
      </c>
      <c r="B81" s="3" t="s">
        <v>382</v>
      </c>
      <c r="C81" s="3">
        <v>2019</v>
      </c>
      <c r="D81" s="3" t="s">
        <v>383</v>
      </c>
      <c r="E81" s="31" t="s">
        <v>384</v>
      </c>
      <c r="F81" s="53" t="s">
        <v>7</v>
      </c>
      <c r="G81" s="52"/>
      <c r="H81" s="52"/>
      <c r="I81" s="52"/>
      <c r="J81" s="52"/>
      <c r="K81" s="50"/>
      <c r="L81" s="50"/>
      <c r="M81" s="50"/>
      <c r="N81" s="50"/>
      <c r="O81" s="50"/>
      <c r="P81" s="50"/>
      <c r="Q81" s="3" t="s">
        <v>152</v>
      </c>
    </row>
    <row r="82" spans="1:18" ht="13.2">
      <c r="A82" s="3">
        <v>10</v>
      </c>
      <c r="B82" s="3" t="s">
        <v>385</v>
      </c>
      <c r="C82" s="3">
        <v>2021</v>
      </c>
      <c r="D82" s="3" t="s">
        <v>386</v>
      </c>
      <c r="E82" s="31" t="s">
        <v>387</v>
      </c>
      <c r="F82" s="53" t="s">
        <v>7</v>
      </c>
      <c r="G82" s="52"/>
      <c r="H82" s="52"/>
      <c r="I82" s="52"/>
      <c r="J82" s="52"/>
      <c r="K82" s="50"/>
      <c r="L82" s="50"/>
      <c r="M82" s="50"/>
      <c r="N82" s="50"/>
      <c r="O82" s="50"/>
      <c r="P82" s="50"/>
      <c r="Q82" s="3" t="s">
        <v>152</v>
      </c>
    </row>
    <row r="83" spans="1:18" ht="18" customHeight="1">
      <c r="A83" s="3">
        <v>10</v>
      </c>
      <c r="B83" s="3" t="s">
        <v>388</v>
      </c>
      <c r="C83" s="3">
        <v>2018</v>
      </c>
      <c r="D83" s="3" t="s">
        <v>389</v>
      </c>
      <c r="E83" s="31" t="s">
        <v>390</v>
      </c>
      <c r="F83" s="52"/>
      <c r="G83" s="52"/>
      <c r="H83" s="53" t="s">
        <v>7</v>
      </c>
      <c r="I83" s="52"/>
      <c r="J83" s="52"/>
      <c r="K83" s="50"/>
      <c r="L83" s="50"/>
      <c r="M83" s="50"/>
      <c r="N83" s="50"/>
      <c r="O83" s="50"/>
      <c r="P83" s="50"/>
      <c r="Q83" s="3" t="s">
        <v>152</v>
      </c>
      <c r="R83" s="3" t="s">
        <v>391</v>
      </c>
    </row>
    <row r="84" spans="1:18" ht="13.2">
      <c r="A84" s="3">
        <v>10</v>
      </c>
      <c r="B84" s="3" t="s">
        <v>392</v>
      </c>
      <c r="C84" s="3">
        <v>2020</v>
      </c>
      <c r="D84" s="3" t="s">
        <v>393</v>
      </c>
      <c r="E84" s="31" t="s">
        <v>394</v>
      </c>
      <c r="F84" s="53" t="s">
        <v>7</v>
      </c>
      <c r="G84" s="52"/>
      <c r="H84" s="52"/>
      <c r="I84" s="52"/>
      <c r="J84" s="52"/>
      <c r="K84" s="50"/>
      <c r="L84" s="50"/>
      <c r="M84" s="50"/>
      <c r="N84" s="50"/>
      <c r="O84" s="50"/>
      <c r="P84" s="50"/>
      <c r="Q84" s="3" t="s">
        <v>152</v>
      </c>
    </row>
    <row r="85" spans="1:18" ht="13.2">
      <c r="A85" s="3">
        <v>10</v>
      </c>
      <c r="B85" s="3" t="s">
        <v>395</v>
      </c>
      <c r="C85" s="3">
        <v>2018</v>
      </c>
      <c r="D85" s="3" t="s">
        <v>396</v>
      </c>
      <c r="E85" s="30" t="s">
        <v>397</v>
      </c>
      <c r="F85" s="52"/>
      <c r="G85" s="53" t="s">
        <v>7</v>
      </c>
      <c r="H85" s="52"/>
      <c r="I85" s="52"/>
      <c r="J85" s="52"/>
      <c r="K85" s="50"/>
      <c r="L85" s="50"/>
      <c r="M85" s="50"/>
      <c r="N85" s="50"/>
      <c r="O85" s="50"/>
      <c r="P85" s="50"/>
      <c r="Q85" s="3" t="s">
        <v>152</v>
      </c>
      <c r="R85" s="3" t="s">
        <v>398</v>
      </c>
    </row>
    <row r="86" spans="1:18" ht="13.2">
      <c r="A86" s="3">
        <v>10</v>
      </c>
      <c r="B86" s="3" t="s">
        <v>399</v>
      </c>
      <c r="C86" s="3">
        <v>2023</v>
      </c>
      <c r="D86" s="3" t="s">
        <v>400</v>
      </c>
      <c r="E86" s="31" t="s">
        <v>401</v>
      </c>
      <c r="F86" s="52"/>
      <c r="G86" s="52"/>
      <c r="H86" s="53" t="s">
        <v>7</v>
      </c>
      <c r="I86" s="52"/>
      <c r="J86" s="55"/>
      <c r="K86" s="50"/>
      <c r="L86" s="50"/>
      <c r="M86" s="50"/>
      <c r="N86" s="50"/>
      <c r="O86" s="50"/>
      <c r="P86" s="51"/>
      <c r="Q86" s="3" t="s">
        <v>152</v>
      </c>
    </row>
    <row r="87" spans="1:18" ht="13.2">
      <c r="A87" s="3">
        <v>10</v>
      </c>
      <c r="B87" s="3" t="s">
        <v>402</v>
      </c>
      <c r="C87" s="3">
        <v>2023</v>
      </c>
      <c r="D87" s="3" t="s">
        <v>403</v>
      </c>
      <c r="E87" s="31" t="s">
        <v>404</v>
      </c>
      <c r="F87" s="52"/>
      <c r="G87" s="52"/>
      <c r="H87" s="53" t="s">
        <v>7</v>
      </c>
      <c r="I87" s="52"/>
      <c r="J87" s="55"/>
      <c r="K87" s="50"/>
      <c r="L87" s="50"/>
      <c r="M87" s="50"/>
      <c r="N87" s="50"/>
      <c r="O87" s="50"/>
      <c r="P87" s="51"/>
      <c r="Q87" s="3" t="s">
        <v>152</v>
      </c>
    </row>
    <row r="88" spans="1:18" ht="13.2">
      <c r="A88" s="3">
        <v>10</v>
      </c>
      <c r="B88" s="3" t="s">
        <v>405</v>
      </c>
      <c r="C88" s="3">
        <v>2021</v>
      </c>
      <c r="D88" s="3" t="s">
        <v>406</v>
      </c>
      <c r="E88" s="31" t="s">
        <v>407</v>
      </c>
      <c r="F88" s="53" t="s">
        <v>7</v>
      </c>
      <c r="G88" s="52"/>
      <c r="H88" s="52"/>
      <c r="I88" s="52"/>
      <c r="J88" s="52"/>
      <c r="K88" s="50"/>
      <c r="L88" s="50"/>
      <c r="M88" s="50"/>
      <c r="N88" s="50"/>
      <c r="O88" s="50"/>
      <c r="P88" s="50"/>
      <c r="Q88" s="3" t="s">
        <v>152</v>
      </c>
    </row>
    <row r="89" spans="1:18" ht="13.2">
      <c r="A89" s="3">
        <v>10</v>
      </c>
      <c r="B89" s="3" t="s">
        <v>408</v>
      </c>
      <c r="C89" s="3">
        <v>2021</v>
      </c>
      <c r="D89" s="3" t="s">
        <v>409</v>
      </c>
      <c r="E89" s="31" t="s">
        <v>410</v>
      </c>
      <c r="F89" s="53" t="s">
        <v>7</v>
      </c>
      <c r="G89" s="52"/>
      <c r="H89" s="52"/>
      <c r="I89" s="52"/>
      <c r="J89" s="52"/>
      <c r="K89" s="50"/>
      <c r="L89" s="50"/>
      <c r="M89" s="50"/>
      <c r="N89" s="50"/>
      <c r="O89" s="50"/>
      <c r="P89" s="50"/>
      <c r="Q89" s="3" t="s">
        <v>152</v>
      </c>
    </row>
    <row r="90" spans="1:18" ht="13.2">
      <c r="A90" s="65">
        <v>45270</v>
      </c>
      <c r="B90" s="3" t="s">
        <v>411</v>
      </c>
      <c r="C90" s="3">
        <v>2020</v>
      </c>
      <c r="D90" s="3" t="s">
        <v>412</v>
      </c>
      <c r="E90" s="30" t="s">
        <v>413</v>
      </c>
      <c r="F90" s="52"/>
      <c r="G90" s="53" t="s">
        <v>286</v>
      </c>
      <c r="H90" s="52"/>
      <c r="I90" s="52"/>
      <c r="J90" s="52"/>
      <c r="K90" s="51" t="s">
        <v>7</v>
      </c>
      <c r="L90" s="50"/>
      <c r="M90" s="50"/>
      <c r="N90" s="50"/>
      <c r="O90" s="50"/>
      <c r="P90" s="50"/>
      <c r="Q90" s="3" t="s">
        <v>152</v>
      </c>
      <c r="R90" s="3" t="s">
        <v>414</v>
      </c>
    </row>
    <row r="91" spans="1:18" ht="13.2">
      <c r="A91" s="3">
        <v>10</v>
      </c>
      <c r="B91" s="3" t="s">
        <v>415</v>
      </c>
      <c r="C91" s="3">
        <v>2021</v>
      </c>
      <c r="D91" s="3" t="s">
        <v>416</v>
      </c>
      <c r="E91" s="31" t="s">
        <v>417</v>
      </c>
      <c r="F91" s="52"/>
      <c r="G91" s="52"/>
      <c r="H91" s="53" t="s">
        <v>7</v>
      </c>
      <c r="I91" s="52"/>
      <c r="J91" s="52"/>
      <c r="K91" s="50"/>
      <c r="L91" s="50"/>
      <c r="M91" s="50"/>
      <c r="N91" s="50"/>
      <c r="O91" s="50"/>
      <c r="P91" s="50"/>
      <c r="Q91" s="3" t="s">
        <v>152</v>
      </c>
    </row>
    <row r="92" spans="1:18" ht="13.2">
      <c r="A92" s="3">
        <v>10</v>
      </c>
      <c r="B92" s="3" t="s">
        <v>418</v>
      </c>
      <c r="C92" s="3">
        <v>2019</v>
      </c>
      <c r="D92" s="3" t="s">
        <v>419</v>
      </c>
      <c r="E92" s="30" t="s">
        <v>420</v>
      </c>
      <c r="F92" s="52"/>
      <c r="G92" s="52"/>
      <c r="H92" s="53" t="s">
        <v>7</v>
      </c>
      <c r="I92" s="52"/>
      <c r="J92" s="52"/>
      <c r="K92" s="50"/>
      <c r="L92" s="50"/>
      <c r="M92" s="50"/>
      <c r="N92" s="50"/>
      <c r="O92" s="50"/>
      <c r="P92" s="50"/>
      <c r="Q92" s="3" t="s">
        <v>152</v>
      </c>
    </row>
    <row r="93" spans="1:18" ht="13.2">
      <c r="A93" s="3">
        <v>10</v>
      </c>
      <c r="B93" s="3" t="s">
        <v>421</v>
      </c>
      <c r="D93" s="3" t="s">
        <v>422</v>
      </c>
      <c r="E93" s="31" t="s">
        <v>423</v>
      </c>
      <c r="F93" s="52"/>
      <c r="G93" s="52"/>
      <c r="H93" s="52"/>
      <c r="I93" s="52"/>
      <c r="J93" s="52"/>
      <c r="K93" s="50"/>
      <c r="L93" s="50"/>
      <c r="M93" s="50"/>
      <c r="N93" s="50"/>
      <c r="O93" s="50"/>
      <c r="P93" s="51" t="s">
        <v>7</v>
      </c>
      <c r="Q93" s="3" t="s">
        <v>152</v>
      </c>
    </row>
    <row r="94" spans="1:18" ht="13.2">
      <c r="A94" s="3">
        <v>10</v>
      </c>
      <c r="B94" s="3" t="s">
        <v>424</v>
      </c>
      <c r="C94" s="3">
        <v>2024</v>
      </c>
      <c r="D94" s="32" t="s">
        <v>425</v>
      </c>
      <c r="E94" s="30" t="s">
        <v>426</v>
      </c>
      <c r="F94" s="52"/>
      <c r="G94" s="53" t="s">
        <v>7</v>
      </c>
      <c r="H94" s="53" t="s">
        <v>7</v>
      </c>
      <c r="I94" s="52"/>
      <c r="J94" s="52"/>
      <c r="K94" s="50"/>
      <c r="L94" s="50"/>
      <c r="M94" s="50"/>
      <c r="N94" s="50"/>
      <c r="O94" s="50"/>
      <c r="P94" s="50"/>
      <c r="Q94" s="3" t="s">
        <v>152</v>
      </c>
    </row>
    <row r="95" spans="1:18" ht="13.2">
      <c r="A95" s="3">
        <v>10</v>
      </c>
      <c r="B95" s="3" t="s">
        <v>427</v>
      </c>
      <c r="C95" s="3">
        <v>2024</v>
      </c>
      <c r="D95" s="32" t="s">
        <v>428</v>
      </c>
      <c r="E95" s="30" t="s">
        <v>429</v>
      </c>
      <c r="F95" s="52"/>
      <c r="G95" s="53"/>
      <c r="H95" s="52"/>
      <c r="I95" s="52"/>
      <c r="J95" s="52"/>
      <c r="K95" s="50"/>
      <c r="L95" s="50"/>
      <c r="M95" s="50"/>
      <c r="N95" s="50"/>
      <c r="O95" s="50"/>
      <c r="P95" s="51" t="s">
        <v>7</v>
      </c>
      <c r="Q95" s="3" t="s">
        <v>152</v>
      </c>
    </row>
    <row r="96" spans="1:18" ht="13.2">
      <c r="A96" s="3">
        <v>11</v>
      </c>
      <c r="B96" s="3" t="s">
        <v>430</v>
      </c>
      <c r="C96" s="3">
        <v>2015</v>
      </c>
      <c r="D96" s="32" t="s">
        <v>431</v>
      </c>
      <c r="E96" s="30" t="s">
        <v>432</v>
      </c>
      <c r="F96" s="52"/>
      <c r="G96" s="53" t="s">
        <v>7</v>
      </c>
      <c r="H96" s="52"/>
      <c r="I96" s="52"/>
      <c r="J96" s="52"/>
      <c r="K96" s="50"/>
      <c r="L96" s="50"/>
      <c r="M96" s="50"/>
      <c r="N96" s="50"/>
      <c r="O96" s="50"/>
      <c r="P96" s="50"/>
      <c r="Q96" s="3" t="s">
        <v>152</v>
      </c>
    </row>
    <row r="97" spans="1:18" ht="13.2">
      <c r="A97" s="3">
        <v>11</v>
      </c>
      <c r="B97" s="3" t="s">
        <v>433</v>
      </c>
      <c r="C97" s="3">
        <v>2019</v>
      </c>
      <c r="D97" s="3" t="s">
        <v>434</v>
      </c>
      <c r="E97" s="31" t="s">
        <v>435</v>
      </c>
      <c r="F97" s="52"/>
      <c r="G97" s="52"/>
      <c r="H97" s="52"/>
      <c r="I97" s="52"/>
      <c r="J97" s="52"/>
      <c r="K97" s="51" t="s">
        <v>7</v>
      </c>
      <c r="L97" s="50"/>
      <c r="M97" s="50"/>
      <c r="N97" s="50"/>
      <c r="O97" s="50"/>
      <c r="P97" s="50"/>
      <c r="Q97" s="3" t="s">
        <v>152</v>
      </c>
      <c r="R97" s="3" t="s">
        <v>436</v>
      </c>
    </row>
    <row r="98" spans="1:18" ht="13.2">
      <c r="A98" s="3">
        <v>11</v>
      </c>
      <c r="B98" s="3" t="s">
        <v>437</v>
      </c>
      <c r="C98" s="3">
        <v>2022</v>
      </c>
      <c r="D98" s="3" t="s">
        <v>438</v>
      </c>
      <c r="E98" s="31" t="s">
        <v>439</v>
      </c>
      <c r="F98" s="52"/>
      <c r="G98" s="52"/>
      <c r="H98" s="52"/>
      <c r="I98" s="52"/>
      <c r="J98" s="52"/>
      <c r="K98" s="50"/>
      <c r="L98" s="50"/>
      <c r="M98" s="50"/>
      <c r="N98" s="51" t="s">
        <v>7</v>
      </c>
      <c r="O98" s="50"/>
      <c r="P98" s="50"/>
      <c r="Q98" s="3" t="s">
        <v>152</v>
      </c>
    </row>
    <row r="99" spans="1:18" ht="13.2">
      <c r="A99" s="3">
        <v>11</v>
      </c>
      <c r="B99" s="3" t="s">
        <v>440</v>
      </c>
      <c r="C99" s="3">
        <v>2019</v>
      </c>
      <c r="D99" s="3" t="s">
        <v>441</v>
      </c>
      <c r="E99" s="30" t="s">
        <v>442</v>
      </c>
      <c r="F99" s="52"/>
      <c r="G99" s="52"/>
      <c r="H99" s="52"/>
      <c r="I99" s="52"/>
      <c r="J99" s="52"/>
      <c r="K99" s="50"/>
      <c r="L99" s="50"/>
      <c r="M99" s="50"/>
      <c r="N99" s="51" t="s">
        <v>7</v>
      </c>
      <c r="O99" s="50"/>
      <c r="P99" s="50"/>
      <c r="Q99" s="3" t="s">
        <v>152</v>
      </c>
    </row>
    <row r="100" spans="1:18" ht="13.2">
      <c r="A100" s="3">
        <v>11</v>
      </c>
      <c r="B100" s="3" t="s">
        <v>443</v>
      </c>
      <c r="C100" s="3">
        <v>2016</v>
      </c>
      <c r="D100" s="3" t="s">
        <v>444</v>
      </c>
      <c r="E100" s="31" t="s">
        <v>445</v>
      </c>
      <c r="F100" s="52"/>
      <c r="G100" s="52"/>
      <c r="H100" s="52"/>
      <c r="I100" s="52"/>
      <c r="J100" s="52"/>
      <c r="K100" s="51" t="s">
        <v>7</v>
      </c>
      <c r="L100" s="50"/>
      <c r="M100" s="50"/>
      <c r="N100" s="50"/>
      <c r="O100" s="50"/>
      <c r="P100" s="50"/>
      <c r="Q100" s="3" t="s">
        <v>152</v>
      </c>
      <c r="R100" s="3" t="s">
        <v>446</v>
      </c>
    </row>
    <row r="101" spans="1:18" ht="13.2">
      <c r="A101" s="3">
        <v>11</v>
      </c>
      <c r="B101" s="3" t="s">
        <v>68</v>
      </c>
      <c r="C101" s="3">
        <v>2021</v>
      </c>
      <c r="D101" s="3" t="s">
        <v>69</v>
      </c>
      <c r="E101" s="31" t="s">
        <v>70</v>
      </c>
      <c r="F101" s="52"/>
      <c r="G101" s="52"/>
      <c r="H101" s="52"/>
      <c r="I101" s="52"/>
      <c r="J101" s="52"/>
      <c r="K101" s="50"/>
      <c r="L101" s="50"/>
      <c r="M101" s="50"/>
      <c r="N101" s="50"/>
      <c r="O101" s="50"/>
      <c r="P101" s="50"/>
      <c r="Q101" s="3" t="s">
        <v>176</v>
      </c>
      <c r="R101" s="3" t="s">
        <v>71</v>
      </c>
    </row>
    <row r="102" spans="1:18" ht="13.2">
      <c r="A102" s="3">
        <v>11</v>
      </c>
      <c r="B102" s="3" t="s">
        <v>447</v>
      </c>
      <c r="C102" s="3">
        <v>2017</v>
      </c>
      <c r="D102" s="3" t="s">
        <v>448</v>
      </c>
      <c r="E102" s="31" t="s">
        <v>449</v>
      </c>
      <c r="F102" s="53" t="s">
        <v>7</v>
      </c>
      <c r="G102" s="53" t="s">
        <v>7</v>
      </c>
      <c r="H102" s="52"/>
      <c r="I102" s="52"/>
      <c r="J102" s="52"/>
      <c r="K102" s="50"/>
      <c r="L102" s="50"/>
      <c r="M102" s="50"/>
      <c r="N102" s="50"/>
      <c r="O102" s="50"/>
      <c r="P102" s="50"/>
      <c r="Q102" s="3" t="s">
        <v>152</v>
      </c>
    </row>
    <row r="103" spans="1:18" ht="13.2">
      <c r="A103" s="3">
        <v>11</v>
      </c>
      <c r="B103" s="3" t="s">
        <v>450</v>
      </c>
      <c r="C103" s="3">
        <v>2016</v>
      </c>
      <c r="D103" s="3" t="s">
        <v>451</v>
      </c>
      <c r="E103" s="31" t="s">
        <v>452</v>
      </c>
      <c r="F103" s="53" t="s">
        <v>7</v>
      </c>
      <c r="G103" s="52"/>
      <c r="H103" s="52"/>
      <c r="I103" s="52"/>
      <c r="J103" s="52"/>
      <c r="K103" s="50"/>
      <c r="L103" s="50"/>
      <c r="M103" s="50"/>
      <c r="N103" s="50"/>
      <c r="O103" s="50"/>
      <c r="P103" s="50"/>
      <c r="Q103" s="3" t="s">
        <v>152</v>
      </c>
    </row>
    <row r="104" spans="1:18" ht="13.2">
      <c r="A104" s="3">
        <v>11</v>
      </c>
      <c r="B104" s="3" t="s">
        <v>453</v>
      </c>
      <c r="C104" s="3">
        <v>2016</v>
      </c>
      <c r="D104" s="3" t="s">
        <v>454</v>
      </c>
      <c r="E104" s="30" t="s">
        <v>455</v>
      </c>
      <c r="F104" s="53" t="s">
        <v>7</v>
      </c>
      <c r="G104" s="52"/>
      <c r="H104" s="52"/>
      <c r="I104" s="52"/>
      <c r="J104" s="52"/>
      <c r="K104" s="50"/>
      <c r="L104" s="50"/>
      <c r="M104" s="50"/>
      <c r="N104" s="50"/>
      <c r="O104" s="50"/>
      <c r="P104" s="50"/>
      <c r="Q104" s="3" t="s">
        <v>152</v>
      </c>
    </row>
    <row r="105" spans="1:18" ht="13.2">
      <c r="A105" s="3">
        <v>11</v>
      </c>
      <c r="B105" s="3" t="s">
        <v>456</v>
      </c>
      <c r="C105" s="3">
        <v>2019</v>
      </c>
      <c r="D105" s="3" t="s">
        <v>457</v>
      </c>
      <c r="E105" s="31" t="s">
        <v>458</v>
      </c>
      <c r="F105" s="53" t="s">
        <v>7</v>
      </c>
      <c r="G105" s="52"/>
      <c r="H105" s="52"/>
      <c r="I105" s="52"/>
      <c r="J105" s="52"/>
      <c r="K105" s="50"/>
      <c r="L105" s="50"/>
      <c r="M105" s="50"/>
      <c r="N105" s="50"/>
      <c r="O105" s="50"/>
      <c r="P105" s="50"/>
      <c r="Q105" s="3" t="s">
        <v>152</v>
      </c>
      <c r="R105" s="3" t="s">
        <v>459</v>
      </c>
    </row>
    <row r="106" spans="1:18" ht="13.2">
      <c r="A106" s="3">
        <v>11</v>
      </c>
      <c r="B106" s="3" t="s">
        <v>72</v>
      </c>
      <c r="C106" s="3">
        <v>2017</v>
      </c>
      <c r="D106" s="3" t="s">
        <v>73</v>
      </c>
      <c r="E106" s="31" t="s">
        <v>74</v>
      </c>
      <c r="F106" s="52"/>
      <c r="G106" s="52"/>
      <c r="H106" s="52"/>
      <c r="I106" s="52"/>
      <c r="J106" s="52"/>
      <c r="K106" s="50"/>
      <c r="L106" s="50"/>
      <c r="M106" s="50"/>
      <c r="N106" s="50"/>
      <c r="O106" s="50"/>
      <c r="P106" s="50"/>
      <c r="Q106" s="3" t="s">
        <v>176</v>
      </c>
      <c r="R106" s="3" t="s">
        <v>75</v>
      </c>
    </row>
    <row r="107" spans="1:18" ht="13.2">
      <c r="A107" s="3">
        <v>11</v>
      </c>
      <c r="B107" s="3" t="s">
        <v>460</v>
      </c>
      <c r="C107" s="3">
        <v>2017</v>
      </c>
      <c r="D107" s="3" t="s">
        <v>461</v>
      </c>
      <c r="E107" s="31" t="s">
        <v>462</v>
      </c>
      <c r="F107" s="53" t="s">
        <v>7</v>
      </c>
      <c r="G107" s="52"/>
      <c r="H107" s="52"/>
      <c r="I107" s="52"/>
      <c r="J107" s="52"/>
      <c r="K107" s="50"/>
      <c r="L107" s="50"/>
      <c r="M107" s="50"/>
      <c r="N107" s="50"/>
      <c r="O107" s="50"/>
      <c r="P107" s="50"/>
      <c r="Q107" s="3" t="s">
        <v>152</v>
      </c>
      <c r="R107" s="3" t="s">
        <v>463</v>
      </c>
    </row>
    <row r="108" spans="1:18" ht="13.2">
      <c r="A108" s="3">
        <v>11</v>
      </c>
      <c r="B108" s="66" t="s">
        <v>464</v>
      </c>
      <c r="C108" s="3">
        <v>2018</v>
      </c>
      <c r="D108" s="3" t="s">
        <v>465</v>
      </c>
      <c r="E108" s="31" t="s">
        <v>466</v>
      </c>
      <c r="F108" s="52"/>
      <c r="G108" s="52"/>
      <c r="H108" s="52"/>
      <c r="I108" s="52"/>
      <c r="J108" s="52"/>
      <c r="K108" s="50"/>
      <c r="L108" s="50"/>
      <c r="M108" s="50"/>
      <c r="N108" s="50"/>
      <c r="O108" s="50"/>
      <c r="P108" s="51" t="s">
        <v>7</v>
      </c>
      <c r="Q108" s="3" t="s">
        <v>152</v>
      </c>
    </row>
    <row r="109" spans="1:18" ht="13.2">
      <c r="A109" s="3">
        <v>11</v>
      </c>
      <c r="B109" s="3" t="s">
        <v>467</v>
      </c>
      <c r="C109" s="3">
        <v>2018</v>
      </c>
      <c r="D109" s="3" t="s">
        <v>468</v>
      </c>
      <c r="E109" s="31" t="s">
        <v>469</v>
      </c>
      <c r="F109" s="52"/>
      <c r="G109" s="52"/>
      <c r="H109" s="52"/>
      <c r="I109" s="52"/>
      <c r="J109" s="52"/>
      <c r="K109" s="50"/>
      <c r="L109" s="50"/>
      <c r="M109" s="51" t="s">
        <v>7</v>
      </c>
      <c r="N109" s="50"/>
      <c r="O109" s="50"/>
      <c r="P109" s="51" t="s">
        <v>286</v>
      </c>
      <c r="Q109" s="3" t="s">
        <v>152</v>
      </c>
    </row>
    <row r="110" spans="1:18" ht="13.2">
      <c r="A110" s="9">
        <v>12</v>
      </c>
      <c r="B110" s="3" t="s">
        <v>470</v>
      </c>
      <c r="C110" s="3">
        <v>2017</v>
      </c>
      <c r="D110" s="3" t="s">
        <v>471</v>
      </c>
      <c r="E110" s="31" t="s">
        <v>472</v>
      </c>
      <c r="F110" s="52"/>
      <c r="G110" s="52"/>
      <c r="H110" s="52"/>
      <c r="I110" s="52"/>
      <c r="J110" s="52"/>
      <c r="K110" s="50"/>
      <c r="L110" s="50"/>
      <c r="M110" s="50"/>
      <c r="N110" s="51" t="s">
        <v>7</v>
      </c>
      <c r="O110" s="50"/>
      <c r="P110" s="50"/>
      <c r="Q110" s="3" t="s">
        <v>152</v>
      </c>
    </row>
    <row r="111" spans="1:18" ht="13.2">
      <c r="A111" s="9">
        <v>12</v>
      </c>
      <c r="B111" s="3" t="s">
        <v>473</v>
      </c>
      <c r="C111" s="3">
        <v>2018</v>
      </c>
      <c r="D111" s="3" t="s">
        <v>474</v>
      </c>
      <c r="E111" s="31" t="s">
        <v>475</v>
      </c>
      <c r="F111" s="52"/>
      <c r="G111" s="52"/>
      <c r="H111" s="52"/>
      <c r="I111" s="52"/>
      <c r="J111" s="52"/>
      <c r="K111" s="50"/>
      <c r="L111" s="50"/>
      <c r="M111" s="50"/>
      <c r="N111" s="51" t="s">
        <v>7</v>
      </c>
      <c r="O111" s="50"/>
      <c r="P111" s="50"/>
      <c r="Q111" s="3" t="s">
        <v>152</v>
      </c>
    </row>
    <row r="112" spans="1:18" ht="13.2">
      <c r="A112" s="9">
        <v>12</v>
      </c>
      <c r="B112" s="3" t="s">
        <v>476</v>
      </c>
      <c r="C112" s="3">
        <v>2022</v>
      </c>
      <c r="D112" s="3" t="s">
        <v>477</v>
      </c>
      <c r="E112" s="31" t="s">
        <v>478</v>
      </c>
      <c r="F112" s="52"/>
      <c r="G112" s="53" t="s">
        <v>7</v>
      </c>
      <c r="H112" s="52"/>
      <c r="I112" s="52"/>
      <c r="J112" s="52"/>
      <c r="K112" s="50"/>
      <c r="L112" s="50"/>
      <c r="M112" s="50"/>
      <c r="N112" s="50"/>
      <c r="O112" s="50"/>
      <c r="P112" s="50"/>
      <c r="Q112" s="3" t="s">
        <v>152</v>
      </c>
    </row>
    <row r="113" spans="1:17" ht="13.2">
      <c r="A113" s="9">
        <v>12</v>
      </c>
      <c r="B113" s="3" t="s">
        <v>479</v>
      </c>
      <c r="C113" s="3">
        <v>2021</v>
      </c>
      <c r="D113" s="3" t="s">
        <v>480</v>
      </c>
      <c r="E113" s="31" t="s">
        <v>481</v>
      </c>
      <c r="F113" s="52"/>
      <c r="G113" s="53" t="s">
        <v>7</v>
      </c>
      <c r="H113" s="53" t="s">
        <v>7</v>
      </c>
      <c r="I113" s="52"/>
      <c r="J113" s="52"/>
      <c r="K113" s="50"/>
      <c r="L113" s="50"/>
      <c r="M113" s="50"/>
      <c r="N113" s="50"/>
      <c r="O113" s="50"/>
      <c r="P113" s="50"/>
      <c r="Q113" s="3" t="s">
        <v>152</v>
      </c>
    </row>
    <row r="114" spans="1:17" ht="13.2">
      <c r="A114" s="9">
        <v>12</v>
      </c>
      <c r="B114" s="3" t="s">
        <v>482</v>
      </c>
      <c r="C114" s="3">
        <v>2017</v>
      </c>
      <c r="D114" s="3" t="s">
        <v>483</v>
      </c>
      <c r="E114" s="31" t="s">
        <v>484</v>
      </c>
      <c r="F114" s="52"/>
      <c r="G114" s="53" t="s">
        <v>7</v>
      </c>
      <c r="H114" s="53" t="s">
        <v>7</v>
      </c>
      <c r="I114" s="52"/>
      <c r="J114" s="52"/>
      <c r="K114" s="50"/>
      <c r="L114" s="50"/>
      <c r="M114" s="50"/>
      <c r="N114" s="50"/>
      <c r="O114" s="50"/>
      <c r="P114" s="50"/>
      <c r="Q114" s="3" t="s">
        <v>152</v>
      </c>
    </row>
    <row r="115" spans="1:17" ht="13.2">
      <c r="A115" s="9">
        <v>12</v>
      </c>
      <c r="B115" s="3" t="s">
        <v>485</v>
      </c>
      <c r="C115" s="3">
        <v>2014</v>
      </c>
      <c r="D115" s="3" t="s">
        <v>486</v>
      </c>
      <c r="E115" s="31" t="s">
        <v>487</v>
      </c>
      <c r="F115" s="52"/>
      <c r="G115" s="52"/>
      <c r="H115" s="53" t="s">
        <v>7</v>
      </c>
      <c r="I115" s="52"/>
      <c r="J115" s="52"/>
      <c r="K115" s="50"/>
      <c r="L115" s="50"/>
      <c r="M115" s="50"/>
      <c r="N115" s="50"/>
      <c r="O115" s="50"/>
      <c r="P115" s="50"/>
      <c r="Q115" s="3" t="s">
        <v>152</v>
      </c>
    </row>
    <row r="116" spans="1:17" ht="13.2">
      <c r="A116" s="9">
        <v>12</v>
      </c>
      <c r="B116" s="3" t="s">
        <v>488</v>
      </c>
      <c r="C116" s="3">
        <v>2017</v>
      </c>
      <c r="D116" s="3" t="s">
        <v>489</v>
      </c>
      <c r="E116" s="31" t="s">
        <v>490</v>
      </c>
      <c r="F116" s="53" t="s">
        <v>7</v>
      </c>
      <c r="G116" s="52"/>
      <c r="H116" s="52"/>
      <c r="I116" s="52"/>
      <c r="J116" s="52"/>
      <c r="K116" s="50"/>
      <c r="L116" s="50"/>
      <c r="M116" s="50"/>
      <c r="N116" s="50"/>
      <c r="O116" s="50"/>
      <c r="P116" s="50"/>
      <c r="Q116" s="3" t="s">
        <v>152</v>
      </c>
    </row>
    <row r="117" spans="1:17" ht="13.2">
      <c r="A117" s="9">
        <v>12</v>
      </c>
      <c r="B117" s="3" t="s">
        <v>491</v>
      </c>
      <c r="C117" s="3">
        <v>2019</v>
      </c>
      <c r="D117" s="3" t="s">
        <v>492</v>
      </c>
      <c r="E117" s="31" t="s">
        <v>493</v>
      </c>
      <c r="F117" s="52"/>
      <c r="G117" s="52"/>
      <c r="H117" s="52"/>
      <c r="I117" s="52"/>
      <c r="J117" s="52"/>
      <c r="K117" s="50"/>
      <c r="L117" s="50"/>
      <c r="M117" s="50"/>
      <c r="N117" s="51" t="s">
        <v>7</v>
      </c>
      <c r="O117" s="50"/>
      <c r="P117" s="50"/>
      <c r="Q117" s="3" t="s">
        <v>152</v>
      </c>
    </row>
    <row r="118" spans="1:17" ht="13.2">
      <c r="A118" s="9">
        <v>12</v>
      </c>
      <c r="B118" s="3" t="s">
        <v>494</v>
      </c>
      <c r="C118" s="3">
        <v>2018</v>
      </c>
      <c r="D118" s="3" t="s">
        <v>495</v>
      </c>
      <c r="E118" s="31" t="s">
        <v>496</v>
      </c>
      <c r="F118" s="52"/>
      <c r="G118" s="52"/>
      <c r="H118" s="53" t="s">
        <v>7</v>
      </c>
      <c r="I118" s="52"/>
      <c r="J118" s="52"/>
      <c r="K118" s="50"/>
      <c r="L118" s="50"/>
      <c r="M118" s="50"/>
      <c r="N118" s="50"/>
      <c r="O118" s="50"/>
      <c r="P118" s="50"/>
      <c r="Q118" s="3" t="s">
        <v>152</v>
      </c>
    </row>
    <row r="119" spans="1:17" ht="13.2">
      <c r="A119" s="9">
        <v>12</v>
      </c>
      <c r="B119" s="3" t="s">
        <v>497</v>
      </c>
      <c r="C119" s="3">
        <v>2016</v>
      </c>
      <c r="D119" s="3" t="s">
        <v>498</v>
      </c>
      <c r="E119" s="30" t="s">
        <v>499</v>
      </c>
      <c r="F119" s="52"/>
      <c r="G119" s="53" t="s">
        <v>7</v>
      </c>
      <c r="H119" s="52"/>
      <c r="I119" s="52"/>
      <c r="J119" s="52"/>
      <c r="K119" s="50"/>
      <c r="L119" s="50"/>
      <c r="M119" s="50"/>
      <c r="N119" s="50"/>
      <c r="O119" s="50"/>
      <c r="P119" s="50"/>
      <c r="Q119" s="3" t="s">
        <v>152</v>
      </c>
    </row>
    <row r="120" spans="1:17" ht="13.2">
      <c r="A120" s="9">
        <v>12</v>
      </c>
      <c r="B120" s="3" t="s">
        <v>500</v>
      </c>
      <c r="C120" s="3">
        <v>2017</v>
      </c>
      <c r="D120" s="3" t="s">
        <v>501</v>
      </c>
      <c r="E120" s="31" t="s">
        <v>502</v>
      </c>
      <c r="F120" s="52"/>
      <c r="G120" s="52"/>
      <c r="H120" s="53" t="s">
        <v>7</v>
      </c>
      <c r="I120" s="52"/>
      <c r="J120" s="52"/>
      <c r="K120" s="50"/>
      <c r="L120" s="50"/>
      <c r="M120" s="50"/>
      <c r="N120" s="50"/>
      <c r="O120" s="50"/>
      <c r="P120" s="50"/>
      <c r="Q120" s="3" t="s">
        <v>152</v>
      </c>
    </row>
    <row r="121" spans="1:17" ht="13.2">
      <c r="A121" s="9">
        <v>12</v>
      </c>
      <c r="B121" s="3" t="s">
        <v>503</v>
      </c>
      <c r="C121" s="3">
        <v>2023</v>
      </c>
      <c r="D121" s="3" t="s">
        <v>504</v>
      </c>
      <c r="E121" s="31" t="s">
        <v>505</v>
      </c>
      <c r="F121" s="52"/>
      <c r="G121" s="53" t="s">
        <v>7</v>
      </c>
      <c r="H121" s="52"/>
      <c r="I121" s="52"/>
      <c r="J121" s="55"/>
      <c r="K121" s="50"/>
      <c r="L121" s="50"/>
      <c r="M121" s="50"/>
      <c r="N121" s="50"/>
      <c r="O121" s="50"/>
      <c r="P121" s="51"/>
      <c r="Q121" s="3" t="s">
        <v>152</v>
      </c>
    </row>
    <row r="122" spans="1:17" ht="13.2">
      <c r="A122" s="9">
        <v>12</v>
      </c>
      <c r="B122" s="3" t="s">
        <v>506</v>
      </c>
      <c r="C122" s="3">
        <v>2021</v>
      </c>
      <c r="D122" s="3" t="s">
        <v>507</v>
      </c>
      <c r="E122" s="31" t="s">
        <v>508</v>
      </c>
      <c r="F122" s="52"/>
      <c r="G122" s="52"/>
      <c r="H122" s="53" t="s">
        <v>7</v>
      </c>
      <c r="I122" s="52"/>
      <c r="J122" s="52"/>
      <c r="K122" s="50"/>
      <c r="L122" s="50"/>
      <c r="M122" s="50"/>
      <c r="N122" s="50"/>
      <c r="O122" s="50"/>
      <c r="P122" s="50"/>
      <c r="Q122" s="3" t="s">
        <v>152</v>
      </c>
    </row>
    <row r="123" spans="1:17" ht="13.2">
      <c r="A123" s="9">
        <v>12</v>
      </c>
      <c r="B123" s="3" t="s">
        <v>509</v>
      </c>
      <c r="C123" s="3">
        <v>2022</v>
      </c>
      <c r="D123" s="3" t="s">
        <v>510</v>
      </c>
      <c r="E123" s="31" t="s">
        <v>511</v>
      </c>
      <c r="F123" s="52"/>
      <c r="G123" s="52"/>
      <c r="H123" s="52"/>
      <c r="I123" s="52"/>
      <c r="J123" s="52"/>
      <c r="K123" s="51" t="s">
        <v>7</v>
      </c>
      <c r="L123" s="50"/>
      <c r="M123" s="50"/>
      <c r="N123" s="50"/>
      <c r="O123" s="50"/>
      <c r="P123" s="50"/>
      <c r="Q123" s="3" t="s">
        <v>152</v>
      </c>
    </row>
    <row r="124" spans="1:17" ht="13.2">
      <c r="A124" s="9">
        <v>12</v>
      </c>
      <c r="B124" s="3" t="s">
        <v>512</v>
      </c>
      <c r="C124" s="3">
        <v>2021</v>
      </c>
      <c r="D124" s="3" t="s">
        <v>513</v>
      </c>
      <c r="E124" s="31" t="s">
        <v>514</v>
      </c>
      <c r="F124" s="52"/>
      <c r="G124" s="52"/>
      <c r="H124" s="53" t="s">
        <v>7</v>
      </c>
      <c r="I124" s="52"/>
      <c r="J124" s="52"/>
      <c r="K124" s="50"/>
      <c r="L124" s="50"/>
      <c r="M124" s="50"/>
      <c r="N124" s="50"/>
      <c r="O124" s="50"/>
      <c r="P124" s="50"/>
      <c r="Q124" s="3" t="s">
        <v>152</v>
      </c>
    </row>
    <row r="125" spans="1:17" ht="13.2">
      <c r="A125" s="9">
        <v>12</v>
      </c>
      <c r="B125" s="3" t="s">
        <v>515</v>
      </c>
      <c r="C125" s="3">
        <v>2015</v>
      </c>
      <c r="D125" s="3" t="s">
        <v>516</v>
      </c>
      <c r="E125" s="31" t="s">
        <v>517</v>
      </c>
      <c r="F125" s="52"/>
      <c r="G125" s="52"/>
      <c r="H125" s="53" t="s">
        <v>7</v>
      </c>
      <c r="I125" s="52"/>
      <c r="J125" s="52"/>
      <c r="K125" s="50"/>
      <c r="L125" s="50"/>
      <c r="M125" s="50"/>
      <c r="N125" s="50"/>
      <c r="O125" s="50"/>
      <c r="P125" s="50"/>
      <c r="Q125" s="3" t="s">
        <v>152</v>
      </c>
    </row>
    <row r="126" spans="1:17" ht="13.2">
      <c r="A126" s="9">
        <v>12</v>
      </c>
      <c r="B126" s="3" t="s">
        <v>518</v>
      </c>
      <c r="C126" s="3">
        <v>2017</v>
      </c>
      <c r="D126" s="3" t="s">
        <v>519</v>
      </c>
      <c r="E126" s="31" t="s">
        <v>520</v>
      </c>
      <c r="F126" s="52"/>
      <c r="G126" s="52"/>
      <c r="H126" s="53" t="s">
        <v>7</v>
      </c>
      <c r="I126" s="52"/>
      <c r="J126" s="52"/>
      <c r="K126" s="50"/>
      <c r="L126" s="50"/>
      <c r="M126" s="50"/>
      <c r="N126" s="50"/>
      <c r="O126" s="50"/>
      <c r="P126" s="50"/>
      <c r="Q126" s="3" t="s">
        <v>152</v>
      </c>
    </row>
    <row r="127" spans="1:17" ht="13.2">
      <c r="A127" s="9">
        <v>12</v>
      </c>
      <c r="B127" s="3" t="s">
        <v>521</v>
      </c>
      <c r="C127" s="3">
        <v>2016</v>
      </c>
      <c r="D127" s="3" t="s">
        <v>522</v>
      </c>
      <c r="E127" s="31" t="s">
        <v>523</v>
      </c>
      <c r="F127" s="52"/>
      <c r="G127" s="52"/>
      <c r="H127" s="53" t="s">
        <v>7</v>
      </c>
      <c r="I127" s="52"/>
      <c r="J127" s="52"/>
      <c r="K127" s="50"/>
      <c r="L127" s="50"/>
      <c r="M127" s="50"/>
      <c r="N127" s="50"/>
      <c r="O127" s="50"/>
      <c r="P127" s="50"/>
      <c r="Q127" s="3" t="s">
        <v>152</v>
      </c>
    </row>
    <row r="128" spans="1:17" ht="13.2">
      <c r="A128" s="9">
        <v>12</v>
      </c>
      <c r="B128" s="3" t="s">
        <v>524</v>
      </c>
      <c r="C128" s="3">
        <v>2022</v>
      </c>
      <c r="D128" s="3" t="s">
        <v>525</v>
      </c>
      <c r="E128" s="31" t="s">
        <v>526</v>
      </c>
      <c r="F128" s="52"/>
      <c r="G128" s="53" t="s">
        <v>7</v>
      </c>
      <c r="H128" s="52"/>
      <c r="I128" s="52"/>
      <c r="J128" s="52"/>
      <c r="K128" s="50"/>
      <c r="L128" s="50"/>
      <c r="M128" s="50"/>
      <c r="N128" s="50"/>
      <c r="O128" s="50"/>
      <c r="P128" s="50"/>
      <c r="Q128" s="3" t="s">
        <v>152</v>
      </c>
    </row>
    <row r="129" spans="1:18" ht="13.2">
      <c r="A129" s="9">
        <v>12</v>
      </c>
      <c r="B129" s="3" t="s">
        <v>527</v>
      </c>
      <c r="C129" s="3">
        <v>2016</v>
      </c>
      <c r="D129" s="3" t="s">
        <v>528</v>
      </c>
      <c r="E129" s="31" t="s">
        <v>529</v>
      </c>
      <c r="F129" s="52"/>
      <c r="G129" s="52"/>
      <c r="H129" s="53" t="s">
        <v>7</v>
      </c>
      <c r="I129" s="52"/>
      <c r="J129" s="52"/>
      <c r="K129" s="50"/>
      <c r="L129" s="50"/>
      <c r="M129" s="50"/>
      <c r="N129" s="51" t="s">
        <v>7</v>
      </c>
      <c r="O129" s="50"/>
      <c r="P129" s="50"/>
      <c r="Q129" s="3" t="s">
        <v>152</v>
      </c>
    </row>
    <row r="130" spans="1:18" ht="13.2">
      <c r="A130" s="9">
        <v>12</v>
      </c>
      <c r="B130" s="3" t="s">
        <v>530</v>
      </c>
      <c r="C130" s="3">
        <v>2022</v>
      </c>
      <c r="D130" s="3" t="s">
        <v>531</v>
      </c>
      <c r="E130" s="31" t="s">
        <v>532</v>
      </c>
      <c r="F130" s="53" t="s">
        <v>7</v>
      </c>
      <c r="G130" s="53" t="s">
        <v>7</v>
      </c>
      <c r="H130" s="53" t="s">
        <v>7</v>
      </c>
      <c r="I130" s="52"/>
      <c r="J130" s="52"/>
      <c r="K130" s="50"/>
      <c r="L130" s="50"/>
      <c r="M130" s="50"/>
      <c r="N130" s="50"/>
      <c r="O130" s="50"/>
      <c r="P130" s="50"/>
      <c r="Q130" s="3" t="s">
        <v>152</v>
      </c>
    </row>
    <row r="131" spans="1:18" ht="13.2">
      <c r="A131" s="9">
        <v>12</v>
      </c>
      <c r="B131" s="3" t="s">
        <v>533</v>
      </c>
      <c r="C131" s="3">
        <v>2023</v>
      </c>
      <c r="D131" s="3" t="s">
        <v>531</v>
      </c>
      <c r="E131" s="31" t="s">
        <v>534</v>
      </c>
      <c r="F131" s="52"/>
      <c r="G131" s="52"/>
      <c r="H131" s="52"/>
      <c r="I131" s="52"/>
      <c r="J131" s="55"/>
      <c r="K131" s="50"/>
      <c r="L131" s="50"/>
      <c r="M131" s="50"/>
      <c r="N131" s="50"/>
      <c r="O131" s="50"/>
      <c r="P131" s="51"/>
      <c r="Q131" s="3" t="s">
        <v>152</v>
      </c>
      <c r="R131" s="3" t="s">
        <v>535</v>
      </c>
    </row>
    <row r="132" spans="1:18" ht="13.2">
      <c r="A132" s="9">
        <v>12</v>
      </c>
      <c r="B132" s="67" t="s">
        <v>536</v>
      </c>
      <c r="C132" s="3">
        <v>2022</v>
      </c>
      <c r="D132" s="3" t="s">
        <v>531</v>
      </c>
      <c r="E132" s="31" t="s">
        <v>537</v>
      </c>
      <c r="F132" s="52"/>
      <c r="G132" s="52"/>
      <c r="H132" s="53"/>
      <c r="I132" s="52"/>
      <c r="J132" s="52"/>
      <c r="K132" s="51"/>
      <c r="L132" s="50"/>
      <c r="M132" s="50"/>
      <c r="N132" s="51"/>
      <c r="O132" s="50"/>
      <c r="P132" s="50"/>
      <c r="Q132" s="3" t="s">
        <v>152</v>
      </c>
      <c r="R132" s="3" t="s">
        <v>535</v>
      </c>
    </row>
    <row r="133" spans="1:18" ht="13.2">
      <c r="A133" s="9">
        <v>12</v>
      </c>
      <c r="B133" s="3" t="s">
        <v>538</v>
      </c>
      <c r="C133" s="3">
        <v>2022</v>
      </c>
      <c r="D133" s="3" t="s">
        <v>539</v>
      </c>
      <c r="E133" s="31" t="s">
        <v>540</v>
      </c>
      <c r="F133" s="52"/>
      <c r="G133" s="52"/>
      <c r="H133" s="53" t="s">
        <v>7</v>
      </c>
      <c r="I133" s="52"/>
      <c r="J133" s="52"/>
      <c r="K133" s="51" t="s">
        <v>7</v>
      </c>
      <c r="L133" s="50"/>
      <c r="M133" s="50"/>
      <c r="N133" s="51"/>
      <c r="O133" s="50"/>
      <c r="P133" s="50"/>
      <c r="Q133" s="3" t="s">
        <v>152</v>
      </c>
    </row>
    <row r="134" spans="1:18" ht="13.2">
      <c r="A134" s="9">
        <v>12</v>
      </c>
      <c r="B134" s="3" t="s">
        <v>541</v>
      </c>
      <c r="C134" s="3">
        <v>2015</v>
      </c>
      <c r="D134" s="3" t="s">
        <v>542</v>
      </c>
      <c r="E134" s="31" t="s">
        <v>543</v>
      </c>
      <c r="F134" s="52"/>
      <c r="G134" s="52"/>
      <c r="H134" s="52"/>
      <c r="I134" s="52"/>
      <c r="J134" s="52"/>
      <c r="K134" s="51" t="s">
        <v>7</v>
      </c>
      <c r="L134" s="50"/>
      <c r="M134" s="50"/>
      <c r="N134" s="50"/>
      <c r="O134" s="50"/>
      <c r="P134" s="50"/>
      <c r="Q134" s="3" t="s">
        <v>152</v>
      </c>
    </row>
    <row r="135" spans="1:18" ht="13.2">
      <c r="A135" s="9">
        <v>12</v>
      </c>
      <c r="B135" s="3" t="s">
        <v>544</v>
      </c>
      <c r="C135" s="3">
        <v>2021</v>
      </c>
      <c r="D135" s="3" t="s">
        <v>545</v>
      </c>
      <c r="E135" s="31" t="s">
        <v>546</v>
      </c>
      <c r="F135" s="52"/>
      <c r="G135" s="52"/>
      <c r="H135" s="53" t="s">
        <v>7</v>
      </c>
      <c r="I135" s="52"/>
      <c r="J135" s="52"/>
      <c r="K135" s="50"/>
      <c r="L135" s="50"/>
      <c r="M135" s="50"/>
      <c r="N135" s="50"/>
      <c r="O135" s="50"/>
      <c r="P135" s="50"/>
      <c r="Q135" s="3" t="s">
        <v>152</v>
      </c>
    </row>
    <row r="136" spans="1:18" ht="13.2">
      <c r="A136" s="9">
        <v>12</v>
      </c>
      <c r="B136" s="3" t="s">
        <v>547</v>
      </c>
      <c r="C136" s="3">
        <v>2015</v>
      </c>
      <c r="D136" s="3" t="s">
        <v>548</v>
      </c>
      <c r="E136" s="31" t="s">
        <v>549</v>
      </c>
      <c r="F136" s="52"/>
      <c r="G136" s="52"/>
      <c r="H136" s="53" t="s">
        <v>7</v>
      </c>
      <c r="I136" s="52"/>
      <c r="J136" s="52"/>
      <c r="K136" s="50"/>
      <c r="L136" s="50"/>
      <c r="M136" s="50"/>
      <c r="N136" s="50"/>
      <c r="O136" s="50"/>
      <c r="P136" s="50"/>
      <c r="Q136" s="3" t="s">
        <v>152</v>
      </c>
    </row>
    <row r="137" spans="1:18" ht="13.2">
      <c r="A137" s="9">
        <v>12</v>
      </c>
      <c r="B137" s="3" t="s">
        <v>550</v>
      </c>
      <c r="C137" s="3">
        <v>2018</v>
      </c>
      <c r="D137" s="3" t="s">
        <v>551</v>
      </c>
      <c r="E137" s="31" t="s">
        <v>552</v>
      </c>
      <c r="F137" s="52"/>
      <c r="G137" s="52"/>
      <c r="H137" s="52"/>
      <c r="I137" s="52"/>
      <c r="J137" s="52"/>
      <c r="K137" s="50"/>
      <c r="L137" s="50"/>
      <c r="M137" s="50"/>
      <c r="N137" s="50"/>
      <c r="O137" s="50"/>
      <c r="P137" s="51" t="s">
        <v>7</v>
      </c>
      <c r="Q137" s="3" t="s">
        <v>152</v>
      </c>
    </row>
    <row r="138" spans="1:18" ht="13.2">
      <c r="A138" s="9">
        <v>12</v>
      </c>
      <c r="B138" s="3" t="s">
        <v>553</v>
      </c>
      <c r="C138" s="3">
        <v>2015</v>
      </c>
      <c r="D138" s="3" t="s">
        <v>554</v>
      </c>
      <c r="E138" s="31" t="s">
        <v>555</v>
      </c>
      <c r="F138" s="52"/>
      <c r="G138" s="52"/>
      <c r="H138" s="52"/>
      <c r="I138" s="52"/>
      <c r="J138" s="52"/>
      <c r="K138" s="50"/>
      <c r="L138" s="50"/>
      <c r="M138" s="50"/>
      <c r="N138" s="50"/>
      <c r="O138" s="50"/>
      <c r="P138" s="50"/>
      <c r="Q138" s="3" t="s">
        <v>176</v>
      </c>
      <c r="R138" s="3" t="s">
        <v>556</v>
      </c>
    </row>
    <row r="139" spans="1:18" ht="13.2">
      <c r="A139" s="9">
        <v>12</v>
      </c>
      <c r="B139" s="3" t="s">
        <v>557</v>
      </c>
      <c r="C139" s="3">
        <v>2019</v>
      </c>
      <c r="D139" s="3" t="s">
        <v>558</v>
      </c>
      <c r="E139" s="31" t="s">
        <v>559</v>
      </c>
      <c r="F139" s="52"/>
      <c r="G139" s="52"/>
      <c r="H139" s="53" t="s">
        <v>7</v>
      </c>
      <c r="I139" s="52"/>
      <c r="J139" s="52"/>
      <c r="K139" s="50"/>
      <c r="L139" s="50"/>
      <c r="M139" s="50"/>
      <c r="N139" s="50"/>
      <c r="O139" s="50"/>
      <c r="P139" s="50"/>
      <c r="Q139" s="3" t="s">
        <v>152</v>
      </c>
    </row>
    <row r="140" spans="1:18" ht="13.2">
      <c r="A140" s="9">
        <v>12</v>
      </c>
      <c r="B140" s="3" t="s">
        <v>560</v>
      </c>
      <c r="C140" s="3">
        <v>2017</v>
      </c>
      <c r="D140" s="3" t="s">
        <v>561</v>
      </c>
      <c r="E140" s="30" t="s">
        <v>562</v>
      </c>
      <c r="F140" s="52"/>
      <c r="G140" s="52"/>
      <c r="H140" s="53" t="s">
        <v>7</v>
      </c>
      <c r="I140" s="52"/>
      <c r="J140" s="52"/>
      <c r="K140" s="50"/>
      <c r="L140" s="50"/>
      <c r="M140" s="50"/>
      <c r="N140" s="50"/>
      <c r="O140" s="50"/>
      <c r="P140" s="50"/>
      <c r="Q140" s="3" t="s">
        <v>152</v>
      </c>
    </row>
    <row r="141" spans="1:18" ht="13.2">
      <c r="A141" s="9">
        <v>12</v>
      </c>
      <c r="B141" s="3" t="s">
        <v>76</v>
      </c>
      <c r="C141" s="3">
        <v>2021</v>
      </c>
      <c r="D141" s="3" t="s">
        <v>77</v>
      </c>
      <c r="E141" s="31" t="s">
        <v>78</v>
      </c>
      <c r="F141" s="52"/>
      <c r="G141" s="52"/>
      <c r="H141" s="52"/>
      <c r="I141" s="52"/>
      <c r="J141" s="52"/>
      <c r="K141" s="50"/>
      <c r="L141" s="50"/>
      <c r="M141" s="50"/>
      <c r="N141" s="50"/>
      <c r="O141" s="50"/>
      <c r="P141" s="50"/>
      <c r="Q141" s="3" t="s">
        <v>176</v>
      </c>
      <c r="R141" s="3" t="s">
        <v>79</v>
      </c>
    </row>
    <row r="142" spans="1:18" ht="13.2">
      <c r="A142" s="9">
        <v>12</v>
      </c>
      <c r="B142" s="3" t="s">
        <v>563</v>
      </c>
      <c r="C142" s="3">
        <v>2015</v>
      </c>
      <c r="D142" s="3" t="s">
        <v>564</v>
      </c>
      <c r="E142" s="31" t="s">
        <v>565</v>
      </c>
      <c r="F142" s="52"/>
      <c r="G142" s="52"/>
      <c r="H142" s="52"/>
      <c r="I142" s="52"/>
      <c r="J142" s="52"/>
      <c r="K142" s="50"/>
      <c r="L142" s="50"/>
      <c r="M142" s="50"/>
      <c r="N142" s="50"/>
      <c r="O142" s="50"/>
      <c r="P142" s="51" t="s">
        <v>7</v>
      </c>
      <c r="Q142" s="3" t="s">
        <v>152</v>
      </c>
    </row>
    <row r="143" spans="1:18" ht="13.2">
      <c r="A143" s="9">
        <v>12</v>
      </c>
      <c r="B143" s="3" t="s">
        <v>566</v>
      </c>
      <c r="C143" s="3">
        <v>2013</v>
      </c>
      <c r="D143" s="3" t="s">
        <v>567</v>
      </c>
      <c r="E143" s="31" t="s">
        <v>568</v>
      </c>
      <c r="F143" s="52"/>
      <c r="G143" s="52"/>
      <c r="H143" s="53" t="s">
        <v>7</v>
      </c>
      <c r="I143" s="52"/>
      <c r="J143" s="52"/>
      <c r="K143" s="50"/>
      <c r="L143" s="50"/>
      <c r="M143" s="50"/>
      <c r="N143" s="50"/>
      <c r="O143" s="50"/>
      <c r="P143" s="50"/>
      <c r="Q143" s="3" t="s">
        <v>152</v>
      </c>
      <c r="R143" s="3" t="s">
        <v>569</v>
      </c>
    </row>
    <row r="144" spans="1:18" ht="13.2">
      <c r="A144" s="9">
        <v>12</v>
      </c>
      <c r="B144" s="3" t="s">
        <v>570</v>
      </c>
      <c r="C144" s="3">
        <v>2016</v>
      </c>
      <c r="D144" s="3" t="s">
        <v>571</v>
      </c>
      <c r="E144" s="30" t="s">
        <v>572</v>
      </c>
      <c r="F144" s="52"/>
      <c r="G144" s="53" t="s">
        <v>7</v>
      </c>
      <c r="H144" s="52"/>
      <c r="I144" s="52"/>
      <c r="J144" s="52"/>
      <c r="K144" s="50"/>
      <c r="L144" s="50"/>
      <c r="M144" s="50"/>
      <c r="N144" s="50"/>
      <c r="O144" s="50"/>
      <c r="P144" s="50"/>
      <c r="Q144" s="3" t="s">
        <v>152</v>
      </c>
      <c r="R144" s="3" t="s">
        <v>573</v>
      </c>
    </row>
    <row r="145" spans="1:18" ht="13.2">
      <c r="A145" s="9">
        <v>12</v>
      </c>
      <c r="B145" s="3" t="s">
        <v>574</v>
      </c>
      <c r="C145" s="3">
        <v>2022</v>
      </c>
      <c r="D145" s="3" t="s">
        <v>575</v>
      </c>
      <c r="E145" s="31" t="s">
        <v>576</v>
      </c>
      <c r="F145" s="52"/>
      <c r="G145" s="52"/>
      <c r="H145" s="52"/>
      <c r="I145" s="52"/>
      <c r="J145" s="52"/>
      <c r="K145" s="50"/>
      <c r="L145" s="50"/>
      <c r="M145" s="50"/>
      <c r="N145" s="50"/>
      <c r="O145" s="50"/>
      <c r="P145" s="51" t="s">
        <v>7</v>
      </c>
      <c r="Q145" s="3" t="s">
        <v>152</v>
      </c>
    </row>
    <row r="146" spans="1:18" ht="13.2">
      <c r="A146" s="9">
        <v>12</v>
      </c>
      <c r="B146" s="3" t="s">
        <v>577</v>
      </c>
      <c r="C146" s="3">
        <v>2014</v>
      </c>
      <c r="D146" s="3" t="s">
        <v>578</v>
      </c>
      <c r="E146" s="31" t="s">
        <v>579</v>
      </c>
      <c r="F146" s="52"/>
      <c r="G146" s="52"/>
      <c r="H146" s="53" t="s">
        <v>7</v>
      </c>
      <c r="I146" s="52"/>
      <c r="J146" s="52"/>
      <c r="K146" s="50"/>
      <c r="L146" s="50"/>
      <c r="M146" s="50"/>
      <c r="N146" s="50"/>
      <c r="O146" s="50"/>
      <c r="P146" s="50"/>
      <c r="Q146" s="3" t="s">
        <v>152</v>
      </c>
      <c r="R146" s="3" t="s">
        <v>580</v>
      </c>
    </row>
    <row r="147" spans="1:18" ht="13.2">
      <c r="A147" s="9">
        <v>12</v>
      </c>
      <c r="B147" s="3" t="s">
        <v>581</v>
      </c>
      <c r="C147" s="3">
        <v>2021</v>
      </c>
      <c r="D147" s="3" t="s">
        <v>582</v>
      </c>
      <c r="E147" s="31" t="s">
        <v>583</v>
      </c>
      <c r="F147" s="52"/>
      <c r="G147" s="52"/>
      <c r="H147" s="52"/>
      <c r="I147" s="52"/>
      <c r="J147" s="52"/>
      <c r="K147" s="50"/>
      <c r="L147" s="50"/>
      <c r="M147" s="50"/>
      <c r="N147" s="50"/>
      <c r="O147" s="50"/>
      <c r="P147" s="51" t="s">
        <v>7</v>
      </c>
      <c r="Q147" s="3" t="s">
        <v>152</v>
      </c>
    </row>
    <row r="148" spans="1:18" ht="13.2">
      <c r="A148" s="9">
        <v>12</v>
      </c>
      <c r="B148" s="3" t="s">
        <v>584</v>
      </c>
      <c r="C148" s="3">
        <v>2022</v>
      </c>
      <c r="D148" s="3" t="s">
        <v>585</v>
      </c>
      <c r="E148" s="31" t="s">
        <v>586</v>
      </c>
      <c r="F148" s="52"/>
      <c r="G148" s="53" t="s">
        <v>7</v>
      </c>
      <c r="H148" s="52"/>
      <c r="I148" s="52"/>
      <c r="J148" s="52"/>
      <c r="K148" s="50"/>
      <c r="L148" s="50"/>
      <c r="M148" s="50"/>
      <c r="N148" s="50"/>
      <c r="O148" s="50"/>
      <c r="P148" s="50"/>
      <c r="Q148" s="3" t="s">
        <v>152</v>
      </c>
    </row>
    <row r="149" spans="1:18" ht="13.2">
      <c r="A149" s="9">
        <v>12</v>
      </c>
      <c r="B149" s="3" t="s">
        <v>587</v>
      </c>
      <c r="C149" s="3">
        <v>2021</v>
      </c>
      <c r="D149" s="3" t="s">
        <v>588</v>
      </c>
      <c r="E149" s="31" t="s">
        <v>589</v>
      </c>
      <c r="F149" s="52"/>
      <c r="G149" s="52"/>
      <c r="H149" s="52"/>
      <c r="I149" s="52"/>
      <c r="J149" s="52"/>
      <c r="K149" s="50"/>
      <c r="L149" s="50"/>
      <c r="M149" s="50"/>
      <c r="N149" s="50"/>
      <c r="O149" s="50"/>
      <c r="P149" s="51" t="s">
        <v>7</v>
      </c>
      <c r="Q149" s="3" t="s">
        <v>152</v>
      </c>
    </row>
    <row r="150" spans="1:18" ht="13.2">
      <c r="A150" s="9">
        <v>12</v>
      </c>
      <c r="B150" s="3" t="s">
        <v>590</v>
      </c>
      <c r="C150" s="3">
        <v>2014</v>
      </c>
      <c r="D150" s="3" t="s">
        <v>591</v>
      </c>
      <c r="E150" s="31" t="s">
        <v>592</v>
      </c>
      <c r="F150" s="52"/>
      <c r="G150" s="53" t="s">
        <v>7</v>
      </c>
      <c r="H150" s="52"/>
      <c r="I150" s="52"/>
      <c r="J150" s="52"/>
      <c r="K150" s="50"/>
      <c r="L150" s="50"/>
      <c r="M150" s="50"/>
      <c r="N150" s="50"/>
      <c r="O150" s="50"/>
      <c r="P150" s="50"/>
      <c r="Q150" s="3" t="s">
        <v>152</v>
      </c>
      <c r="R150" s="3" t="s">
        <v>593</v>
      </c>
    </row>
    <row r="151" spans="1:18" ht="13.2">
      <c r="A151" s="9">
        <v>12</v>
      </c>
      <c r="B151" s="3" t="s">
        <v>594</v>
      </c>
      <c r="C151" s="3">
        <v>2020</v>
      </c>
      <c r="D151" s="3" t="s">
        <v>595</v>
      </c>
      <c r="E151" s="30" t="s">
        <v>596</v>
      </c>
      <c r="F151" s="52"/>
      <c r="G151" s="52"/>
      <c r="H151" s="53" t="s">
        <v>7</v>
      </c>
      <c r="I151" s="52"/>
      <c r="J151" s="52"/>
      <c r="K151" s="50"/>
      <c r="L151" s="50"/>
      <c r="M151" s="50"/>
      <c r="N151" s="50"/>
      <c r="O151" s="50"/>
      <c r="P151" s="50"/>
      <c r="Q151" s="3" t="s">
        <v>152</v>
      </c>
    </row>
    <row r="152" spans="1:18" ht="13.2">
      <c r="A152" s="9">
        <v>12</v>
      </c>
      <c r="B152" s="3" t="s">
        <v>597</v>
      </c>
      <c r="C152" s="3">
        <v>2015</v>
      </c>
      <c r="D152" s="3" t="s">
        <v>598</v>
      </c>
      <c r="E152" s="31" t="s">
        <v>599</v>
      </c>
      <c r="F152" s="52"/>
      <c r="G152" s="52"/>
      <c r="H152" s="52"/>
      <c r="I152" s="52"/>
      <c r="J152" s="52"/>
      <c r="K152" s="50"/>
      <c r="L152" s="51" t="s">
        <v>7</v>
      </c>
      <c r="M152" s="50"/>
      <c r="N152" s="50"/>
      <c r="O152" s="50"/>
      <c r="P152" s="50"/>
      <c r="Q152" s="3" t="s">
        <v>152</v>
      </c>
    </row>
    <row r="153" spans="1:18" ht="13.2">
      <c r="A153" s="9">
        <v>12</v>
      </c>
      <c r="B153" s="3" t="s">
        <v>600</v>
      </c>
      <c r="C153" s="3">
        <v>2018</v>
      </c>
      <c r="D153" s="3" t="s">
        <v>601</v>
      </c>
      <c r="E153" s="31" t="s">
        <v>602</v>
      </c>
      <c r="F153" s="52"/>
      <c r="G153" s="52"/>
      <c r="H153" s="53" t="s">
        <v>7</v>
      </c>
      <c r="I153" s="52"/>
      <c r="J153" s="52"/>
      <c r="K153" s="50"/>
      <c r="L153" s="50"/>
      <c r="M153" s="50"/>
      <c r="N153" s="50"/>
      <c r="O153" s="50"/>
      <c r="P153" s="50"/>
      <c r="Q153" s="3" t="s">
        <v>152</v>
      </c>
    </row>
    <row r="154" spans="1:18" ht="13.2">
      <c r="A154" s="9">
        <v>12</v>
      </c>
      <c r="B154" s="3" t="s">
        <v>603</v>
      </c>
      <c r="C154" s="3">
        <v>2016</v>
      </c>
      <c r="D154" s="3" t="s">
        <v>604</v>
      </c>
      <c r="E154" s="31" t="s">
        <v>605</v>
      </c>
      <c r="F154" s="52"/>
      <c r="G154" s="52"/>
      <c r="H154" s="53" t="s">
        <v>7</v>
      </c>
      <c r="I154" s="52"/>
      <c r="J154" s="52"/>
      <c r="K154" s="50"/>
      <c r="L154" s="50"/>
      <c r="M154" s="50"/>
      <c r="N154" s="50"/>
      <c r="O154" s="50"/>
      <c r="P154" s="50"/>
      <c r="Q154" s="3" t="s">
        <v>152</v>
      </c>
    </row>
    <row r="155" spans="1:18" ht="13.2">
      <c r="A155" s="9">
        <v>12</v>
      </c>
      <c r="B155" s="3" t="s">
        <v>606</v>
      </c>
      <c r="C155" s="3">
        <v>2015</v>
      </c>
      <c r="D155" s="3" t="s">
        <v>607</v>
      </c>
      <c r="E155" s="31" t="s">
        <v>608</v>
      </c>
      <c r="F155" s="52"/>
      <c r="G155" s="52"/>
      <c r="H155" s="52"/>
      <c r="I155" s="52"/>
      <c r="J155" s="52"/>
      <c r="K155" s="50"/>
      <c r="L155" s="51" t="s">
        <v>7</v>
      </c>
      <c r="M155" s="50"/>
      <c r="N155" s="50"/>
      <c r="O155" s="50"/>
      <c r="P155" s="50"/>
      <c r="Q155" s="3" t="s">
        <v>152</v>
      </c>
    </row>
    <row r="156" spans="1:18" ht="13.2">
      <c r="A156" s="9">
        <v>12</v>
      </c>
      <c r="B156" s="3" t="s">
        <v>80</v>
      </c>
      <c r="C156" s="3">
        <v>2019</v>
      </c>
      <c r="D156" s="3" t="s">
        <v>81</v>
      </c>
      <c r="E156" s="30" t="s">
        <v>82</v>
      </c>
      <c r="F156" s="52"/>
      <c r="G156" s="52"/>
      <c r="H156" s="52"/>
      <c r="I156" s="52"/>
      <c r="J156" s="52"/>
      <c r="K156" s="50"/>
      <c r="L156" s="50"/>
      <c r="M156" s="50"/>
      <c r="N156" s="50"/>
      <c r="O156" s="50"/>
      <c r="P156" s="50"/>
      <c r="Q156" s="3" t="s">
        <v>176</v>
      </c>
      <c r="R156" s="3" t="s">
        <v>83</v>
      </c>
    </row>
    <row r="157" spans="1:18" ht="13.2">
      <c r="A157" s="9">
        <v>12</v>
      </c>
      <c r="B157" s="3" t="s">
        <v>609</v>
      </c>
      <c r="C157" s="3">
        <v>2018</v>
      </c>
      <c r="D157" s="3" t="s">
        <v>610</v>
      </c>
      <c r="E157" s="31" t="s">
        <v>611</v>
      </c>
      <c r="F157" s="52"/>
      <c r="G157" s="52"/>
      <c r="H157" s="52"/>
      <c r="I157" s="52"/>
      <c r="J157" s="52"/>
      <c r="K157" s="50"/>
      <c r="L157" s="50"/>
      <c r="M157" s="50"/>
      <c r="N157" s="50"/>
      <c r="O157" s="50"/>
      <c r="P157" s="51" t="s">
        <v>7</v>
      </c>
      <c r="Q157" s="3" t="s">
        <v>152</v>
      </c>
    </row>
    <row r="158" spans="1:18" ht="13.2">
      <c r="A158" s="9">
        <v>12</v>
      </c>
      <c r="B158" s="3" t="s">
        <v>612</v>
      </c>
      <c r="C158" s="3">
        <v>2016</v>
      </c>
      <c r="D158" s="3" t="s">
        <v>613</v>
      </c>
      <c r="E158" s="31" t="s">
        <v>614</v>
      </c>
      <c r="F158" s="52"/>
      <c r="G158" s="52"/>
      <c r="H158" s="53" t="s">
        <v>7</v>
      </c>
      <c r="I158" s="52"/>
      <c r="J158" s="52"/>
      <c r="K158" s="50"/>
      <c r="L158" s="50"/>
      <c r="M158" s="50"/>
      <c r="N158" s="50"/>
      <c r="O158" s="50"/>
      <c r="P158" s="50"/>
      <c r="Q158" s="3" t="s">
        <v>152</v>
      </c>
    </row>
    <row r="159" spans="1:18" ht="13.2">
      <c r="A159" s="9">
        <v>12</v>
      </c>
      <c r="B159" s="3" t="s">
        <v>615</v>
      </c>
      <c r="C159" s="3">
        <v>2016</v>
      </c>
      <c r="D159" s="3" t="s">
        <v>616</v>
      </c>
      <c r="E159" s="59" t="s">
        <v>617</v>
      </c>
      <c r="F159" s="52"/>
      <c r="G159" s="52"/>
      <c r="H159" s="52"/>
      <c r="I159" s="52"/>
      <c r="J159" s="52"/>
      <c r="K159" s="50"/>
      <c r="L159" s="50"/>
      <c r="M159" s="51" t="s">
        <v>7</v>
      </c>
      <c r="N159" s="50"/>
      <c r="O159" s="50"/>
      <c r="P159" s="50"/>
      <c r="Q159" s="3" t="s">
        <v>152</v>
      </c>
    </row>
    <row r="160" spans="1:18" ht="13.2">
      <c r="A160" s="9">
        <v>12</v>
      </c>
      <c r="B160" s="3" t="s">
        <v>618</v>
      </c>
      <c r="C160" s="3">
        <v>2015</v>
      </c>
      <c r="D160" s="3" t="s">
        <v>619</v>
      </c>
      <c r="E160" s="31" t="s">
        <v>620</v>
      </c>
      <c r="F160" s="52"/>
      <c r="G160" s="52"/>
      <c r="H160" s="52"/>
      <c r="I160" s="52"/>
      <c r="J160" s="52"/>
      <c r="K160" s="50"/>
      <c r="L160" s="50"/>
      <c r="M160" s="50"/>
      <c r="N160" s="50"/>
      <c r="O160" s="50"/>
      <c r="P160" s="51" t="s">
        <v>7</v>
      </c>
      <c r="Q160" s="3" t="s">
        <v>152</v>
      </c>
    </row>
    <row r="161" spans="1:18" ht="13.2">
      <c r="A161" s="9">
        <v>12</v>
      </c>
      <c r="B161" s="3" t="s">
        <v>621</v>
      </c>
      <c r="C161" s="3">
        <v>2015</v>
      </c>
      <c r="D161" s="3" t="s">
        <v>622</v>
      </c>
      <c r="E161" s="31" t="s">
        <v>623</v>
      </c>
      <c r="F161" s="52"/>
      <c r="G161" s="52"/>
      <c r="H161" s="52"/>
      <c r="I161" s="52"/>
      <c r="J161" s="52"/>
      <c r="K161" s="50"/>
      <c r="L161" s="50"/>
      <c r="M161" s="50"/>
      <c r="N161" s="50"/>
      <c r="O161" s="50"/>
      <c r="P161" s="51" t="s">
        <v>7</v>
      </c>
      <c r="Q161" s="3" t="s">
        <v>152</v>
      </c>
    </row>
    <row r="162" spans="1:18" ht="13.2">
      <c r="A162" s="9">
        <v>12</v>
      </c>
      <c r="B162" s="3" t="s">
        <v>485</v>
      </c>
      <c r="C162" s="3">
        <v>2014</v>
      </c>
      <c r="D162" s="3" t="s">
        <v>624</v>
      </c>
      <c r="E162" s="31" t="s">
        <v>487</v>
      </c>
      <c r="F162" s="52"/>
      <c r="G162" s="53" t="s">
        <v>7</v>
      </c>
      <c r="H162" s="53" t="s">
        <v>7</v>
      </c>
      <c r="I162" s="52"/>
      <c r="J162" s="52"/>
      <c r="K162" s="50"/>
      <c r="L162" s="50"/>
      <c r="M162" s="50"/>
      <c r="N162" s="50"/>
      <c r="O162" s="50"/>
      <c r="P162" s="50"/>
      <c r="Q162" s="3" t="s">
        <v>152</v>
      </c>
    </row>
    <row r="163" spans="1:18" ht="13.2">
      <c r="A163" s="9">
        <v>12</v>
      </c>
      <c r="B163" s="3" t="s">
        <v>625</v>
      </c>
      <c r="C163" s="3">
        <v>2018</v>
      </c>
      <c r="D163" s="3" t="s">
        <v>626</v>
      </c>
      <c r="E163" s="31" t="s">
        <v>627</v>
      </c>
      <c r="F163" s="52"/>
      <c r="G163" s="52"/>
      <c r="H163" s="52"/>
      <c r="I163" s="52"/>
      <c r="J163" s="52"/>
      <c r="K163" s="50"/>
      <c r="L163" s="51" t="s">
        <v>7</v>
      </c>
      <c r="M163" s="50"/>
      <c r="N163" s="50"/>
      <c r="O163" s="50"/>
      <c r="P163" s="51" t="s">
        <v>7</v>
      </c>
      <c r="Q163" s="3" t="s">
        <v>152</v>
      </c>
    </row>
    <row r="164" spans="1:18" ht="13.2">
      <c r="A164" s="9">
        <v>12</v>
      </c>
      <c r="B164" s="3" t="s">
        <v>84</v>
      </c>
      <c r="C164" s="3">
        <v>2016</v>
      </c>
      <c r="D164" s="3" t="s">
        <v>85</v>
      </c>
      <c r="E164" s="31" t="s">
        <v>86</v>
      </c>
      <c r="F164" s="52"/>
      <c r="G164" s="52"/>
      <c r="H164" s="52"/>
      <c r="I164" s="52"/>
      <c r="J164" s="52"/>
      <c r="K164" s="50"/>
      <c r="L164" s="50"/>
      <c r="M164" s="50"/>
      <c r="N164" s="50"/>
      <c r="O164" s="50"/>
      <c r="P164" s="50"/>
      <c r="Q164" s="3" t="s">
        <v>176</v>
      </c>
      <c r="R164" s="3" t="s">
        <v>87</v>
      </c>
    </row>
    <row r="165" spans="1:18" ht="13.2">
      <c r="A165" s="9">
        <v>12</v>
      </c>
      <c r="B165" s="3" t="s">
        <v>628</v>
      </c>
      <c r="C165" s="3">
        <v>2020</v>
      </c>
      <c r="D165" s="3" t="s">
        <v>629</v>
      </c>
      <c r="E165" s="31" t="s">
        <v>630</v>
      </c>
      <c r="F165" s="52"/>
      <c r="G165" s="52"/>
      <c r="H165" s="52"/>
      <c r="I165" s="52"/>
      <c r="J165" s="52"/>
      <c r="K165" s="50"/>
      <c r="L165" s="51" t="s">
        <v>7</v>
      </c>
      <c r="M165" s="50"/>
      <c r="N165" s="50"/>
      <c r="O165" s="50"/>
      <c r="P165" s="51"/>
      <c r="Q165" s="3" t="s">
        <v>152</v>
      </c>
    </row>
    <row r="166" spans="1:18" ht="13.2">
      <c r="A166" s="9">
        <v>12</v>
      </c>
      <c r="B166" s="3" t="s">
        <v>631</v>
      </c>
      <c r="C166" s="3">
        <v>2023</v>
      </c>
      <c r="D166" s="32" t="s">
        <v>632</v>
      </c>
      <c r="E166" s="31" t="s">
        <v>633</v>
      </c>
      <c r="F166" s="52"/>
      <c r="G166" s="52"/>
      <c r="H166" s="52"/>
      <c r="I166" s="53" t="s">
        <v>7</v>
      </c>
      <c r="J166" s="52"/>
      <c r="K166" s="50"/>
      <c r="L166" s="50"/>
      <c r="M166" s="50"/>
      <c r="N166" s="50"/>
      <c r="O166" s="50"/>
      <c r="P166" s="50"/>
      <c r="Q166" s="3" t="s">
        <v>152</v>
      </c>
      <c r="R166" s="3"/>
    </row>
    <row r="167" spans="1:18" ht="13.2">
      <c r="A167" s="9">
        <v>12</v>
      </c>
      <c r="B167" s="3" t="s">
        <v>634</v>
      </c>
      <c r="C167" s="3">
        <v>2024</v>
      </c>
      <c r="D167" s="68" t="s">
        <v>635</v>
      </c>
      <c r="E167" s="31" t="s">
        <v>636</v>
      </c>
      <c r="F167" s="52"/>
      <c r="G167" s="53" t="s">
        <v>7</v>
      </c>
      <c r="H167" s="53" t="s">
        <v>7</v>
      </c>
      <c r="I167" s="52"/>
      <c r="J167" s="52"/>
      <c r="K167" s="50"/>
      <c r="L167" s="50"/>
      <c r="M167" s="50"/>
      <c r="N167" s="50"/>
      <c r="O167" s="50"/>
      <c r="P167" s="50"/>
      <c r="Q167" s="3" t="s">
        <v>152</v>
      </c>
      <c r="R167" s="3"/>
    </row>
    <row r="168" spans="1:18" ht="13.2">
      <c r="A168" s="9">
        <v>12</v>
      </c>
      <c r="B168" s="3" t="s">
        <v>637</v>
      </c>
      <c r="C168" s="3">
        <v>2023</v>
      </c>
      <c r="D168" s="32" t="s">
        <v>638</v>
      </c>
      <c r="E168" s="31" t="s">
        <v>639</v>
      </c>
      <c r="F168" s="52"/>
      <c r="G168" s="53" t="s">
        <v>7</v>
      </c>
      <c r="H168" s="53" t="s">
        <v>7</v>
      </c>
      <c r="I168" s="52"/>
      <c r="J168" s="52"/>
      <c r="K168" s="50"/>
      <c r="L168" s="50"/>
      <c r="M168" s="50"/>
      <c r="N168" s="50"/>
      <c r="O168" s="50"/>
      <c r="P168" s="50"/>
      <c r="Q168" s="3" t="s">
        <v>152</v>
      </c>
      <c r="R168" s="3"/>
    </row>
    <row r="169" spans="1:18" ht="13.2">
      <c r="A169" s="9">
        <v>12</v>
      </c>
      <c r="B169" s="3" t="s">
        <v>640</v>
      </c>
      <c r="C169" s="3">
        <v>2023</v>
      </c>
      <c r="D169" s="32" t="s">
        <v>641</v>
      </c>
      <c r="E169" s="31" t="s">
        <v>642</v>
      </c>
      <c r="F169" s="52"/>
      <c r="G169" s="52"/>
      <c r="H169" s="52"/>
      <c r="I169" s="52"/>
      <c r="J169" s="52"/>
      <c r="K169" s="50"/>
      <c r="L169" s="50"/>
      <c r="M169" s="50"/>
      <c r="N169" s="50"/>
      <c r="O169" s="50"/>
      <c r="P169" s="50"/>
      <c r="Q169" s="3" t="s">
        <v>152</v>
      </c>
      <c r="R169" s="3" t="s">
        <v>643</v>
      </c>
    </row>
    <row r="170" spans="1:18" ht="13.2">
      <c r="A170" s="9">
        <v>12</v>
      </c>
      <c r="B170" s="3" t="s">
        <v>644</v>
      </c>
      <c r="C170" s="3">
        <v>2023</v>
      </c>
      <c r="D170" s="32" t="s">
        <v>645</v>
      </c>
      <c r="E170" s="31" t="s">
        <v>646</v>
      </c>
      <c r="F170" s="52"/>
      <c r="G170" s="52"/>
      <c r="H170" s="52"/>
      <c r="I170" s="52"/>
      <c r="J170" s="52"/>
      <c r="K170" s="50"/>
      <c r="L170" s="50"/>
      <c r="M170" s="50"/>
      <c r="N170" s="50"/>
      <c r="O170" s="50"/>
      <c r="P170" s="51" t="s">
        <v>7</v>
      </c>
      <c r="Q170" s="3" t="s">
        <v>152</v>
      </c>
      <c r="R170" s="3"/>
    </row>
    <row r="171" spans="1:18" ht="13.2">
      <c r="A171" s="9">
        <v>13</v>
      </c>
      <c r="B171" s="3" t="s">
        <v>647</v>
      </c>
      <c r="C171" s="3">
        <v>2024</v>
      </c>
      <c r="D171" s="68" t="s">
        <v>648</v>
      </c>
      <c r="E171" s="31" t="s">
        <v>649</v>
      </c>
      <c r="F171" s="52"/>
      <c r="G171" s="53" t="s">
        <v>7</v>
      </c>
      <c r="H171" s="52"/>
      <c r="I171" s="52"/>
      <c r="J171" s="52"/>
      <c r="K171" s="50"/>
      <c r="L171" s="50"/>
      <c r="M171" s="50"/>
      <c r="N171" s="50"/>
      <c r="O171" s="50"/>
      <c r="P171" s="50"/>
      <c r="Q171" s="3" t="s">
        <v>152</v>
      </c>
      <c r="R171" s="3"/>
    </row>
    <row r="172" spans="1:18" ht="13.2">
      <c r="A172" s="9">
        <v>13</v>
      </c>
      <c r="B172" s="3" t="s">
        <v>650</v>
      </c>
      <c r="C172" s="3">
        <v>2023</v>
      </c>
      <c r="D172" s="32" t="s">
        <v>651</v>
      </c>
      <c r="E172" s="31" t="s">
        <v>652</v>
      </c>
      <c r="F172" s="52"/>
      <c r="G172" s="52"/>
      <c r="H172" s="52"/>
      <c r="I172" s="52"/>
      <c r="J172" s="52"/>
      <c r="K172" s="50"/>
      <c r="L172" s="50"/>
      <c r="M172" s="50"/>
      <c r="N172" s="50"/>
      <c r="O172" s="50"/>
      <c r="P172" s="51" t="s">
        <v>7</v>
      </c>
      <c r="Q172" s="3" t="s">
        <v>152</v>
      </c>
      <c r="R172" s="3"/>
    </row>
    <row r="173" spans="1:18" ht="13.2">
      <c r="A173" s="9">
        <v>14</v>
      </c>
      <c r="B173" s="36" t="s">
        <v>653</v>
      </c>
      <c r="C173" s="3">
        <v>2018</v>
      </c>
      <c r="D173" s="32" t="s">
        <v>654</v>
      </c>
      <c r="E173" s="31" t="s">
        <v>655</v>
      </c>
      <c r="F173" s="52"/>
      <c r="G173" s="52"/>
      <c r="H173" s="52"/>
      <c r="I173" s="52"/>
      <c r="J173" s="52"/>
      <c r="K173" s="50"/>
      <c r="L173" s="50"/>
      <c r="M173" s="50"/>
      <c r="N173" s="50"/>
      <c r="O173" s="50"/>
      <c r="P173" s="50"/>
      <c r="Q173" s="3" t="s">
        <v>152</v>
      </c>
      <c r="R173" s="3" t="s">
        <v>656</v>
      </c>
    </row>
    <row r="174" spans="1:18" ht="13.2">
      <c r="A174" s="9">
        <v>14</v>
      </c>
      <c r="B174" s="3" t="s">
        <v>88</v>
      </c>
      <c r="C174" s="3">
        <v>2018</v>
      </c>
      <c r="D174" s="32" t="s">
        <v>89</v>
      </c>
      <c r="E174" s="31" t="s">
        <v>90</v>
      </c>
      <c r="F174" s="52"/>
      <c r="G174" s="52"/>
      <c r="H174" s="52"/>
      <c r="I174" s="52"/>
      <c r="J174" s="52"/>
      <c r="K174" s="50"/>
      <c r="L174" s="50"/>
      <c r="M174" s="50"/>
      <c r="N174" s="50"/>
      <c r="O174" s="50"/>
      <c r="P174" s="50"/>
      <c r="Q174" s="3" t="s">
        <v>176</v>
      </c>
    </row>
    <row r="175" spans="1:18" ht="13.2">
      <c r="A175" s="9">
        <v>14</v>
      </c>
      <c r="B175" s="3" t="s">
        <v>657</v>
      </c>
      <c r="C175" s="3">
        <v>2017</v>
      </c>
      <c r="D175" s="3" t="s">
        <v>658</v>
      </c>
      <c r="E175" s="31" t="s">
        <v>659</v>
      </c>
      <c r="F175" s="52"/>
      <c r="G175" s="52"/>
      <c r="H175" s="53" t="s">
        <v>7</v>
      </c>
      <c r="I175" s="52"/>
      <c r="J175" s="52"/>
      <c r="K175" s="50"/>
      <c r="L175" s="50"/>
      <c r="M175" s="50"/>
      <c r="N175" s="50"/>
      <c r="O175" s="50"/>
      <c r="P175" s="50"/>
      <c r="Q175" s="3" t="s">
        <v>152</v>
      </c>
      <c r="R175" s="3" t="s">
        <v>660</v>
      </c>
    </row>
    <row r="176" spans="1:18" ht="13.2">
      <c r="A176" s="9">
        <v>14</v>
      </c>
      <c r="B176" s="3" t="s">
        <v>91</v>
      </c>
      <c r="C176" s="3">
        <v>2016</v>
      </c>
      <c r="D176" s="3" t="s">
        <v>92</v>
      </c>
      <c r="E176" s="30" t="s">
        <v>93</v>
      </c>
      <c r="F176" s="52"/>
      <c r="G176" s="52"/>
      <c r="H176" s="52"/>
      <c r="I176" s="52"/>
      <c r="J176" s="52"/>
      <c r="K176" s="50"/>
      <c r="L176" s="50"/>
      <c r="M176" s="50"/>
      <c r="N176" s="50"/>
      <c r="O176" s="50"/>
      <c r="P176" s="50"/>
      <c r="Q176" s="3" t="s">
        <v>176</v>
      </c>
      <c r="R176" s="3" t="s">
        <v>94</v>
      </c>
    </row>
    <row r="177" spans="1:18" ht="13.2">
      <c r="A177" s="9">
        <v>14</v>
      </c>
      <c r="B177" s="3" t="s">
        <v>661</v>
      </c>
      <c r="C177" s="3">
        <v>2020</v>
      </c>
      <c r="D177" s="3" t="s">
        <v>662</v>
      </c>
      <c r="E177" s="31" t="s">
        <v>663</v>
      </c>
      <c r="F177" s="52"/>
      <c r="G177" s="52"/>
      <c r="H177" s="53" t="s">
        <v>7</v>
      </c>
      <c r="I177" s="52"/>
      <c r="J177" s="52"/>
      <c r="K177" s="50"/>
      <c r="L177" s="50"/>
      <c r="M177" s="50"/>
      <c r="N177" s="50"/>
      <c r="O177" s="50"/>
      <c r="P177" s="50"/>
      <c r="Q177" s="3" t="s">
        <v>152</v>
      </c>
    </row>
    <row r="178" spans="1:18" ht="13.2">
      <c r="A178" s="9">
        <v>14</v>
      </c>
      <c r="B178" s="3" t="s">
        <v>664</v>
      </c>
      <c r="C178" s="3">
        <v>2023</v>
      </c>
      <c r="D178" s="3" t="s">
        <v>665</v>
      </c>
      <c r="E178" s="31" t="s">
        <v>666</v>
      </c>
      <c r="F178" s="52"/>
      <c r="G178" s="52"/>
      <c r="H178" s="52"/>
      <c r="I178" s="52"/>
      <c r="J178" s="52"/>
      <c r="K178" s="50"/>
      <c r="L178" s="50"/>
      <c r="M178" s="50"/>
      <c r="N178" s="50"/>
      <c r="O178" s="50"/>
      <c r="P178" s="51" t="s">
        <v>7</v>
      </c>
      <c r="Q178" s="3" t="s">
        <v>152</v>
      </c>
    </row>
    <row r="179" spans="1:18" ht="13.2">
      <c r="A179" s="9">
        <v>14</v>
      </c>
      <c r="B179" s="3" t="s">
        <v>95</v>
      </c>
      <c r="C179" s="3">
        <v>2021</v>
      </c>
      <c r="D179" s="3" t="s">
        <v>96</v>
      </c>
      <c r="E179" s="31" t="s">
        <v>97</v>
      </c>
      <c r="F179" s="52"/>
      <c r="G179" s="52"/>
      <c r="H179" s="52"/>
      <c r="I179" s="52"/>
      <c r="J179" s="52"/>
      <c r="K179" s="50"/>
      <c r="L179" s="50"/>
      <c r="M179" s="50"/>
      <c r="N179" s="50"/>
      <c r="O179" s="50"/>
      <c r="P179" s="50"/>
      <c r="Q179" s="3" t="s">
        <v>176</v>
      </c>
    </row>
    <row r="180" spans="1:18" ht="13.2">
      <c r="A180" s="9">
        <v>14</v>
      </c>
      <c r="B180" s="3" t="s">
        <v>667</v>
      </c>
      <c r="C180" s="3">
        <v>2017</v>
      </c>
      <c r="D180" s="3" t="s">
        <v>668</v>
      </c>
      <c r="E180" s="31" t="s">
        <v>669</v>
      </c>
      <c r="F180" s="52"/>
      <c r="G180" s="52"/>
      <c r="H180" s="52"/>
      <c r="I180" s="52"/>
      <c r="J180" s="52"/>
      <c r="K180" s="50"/>
      <c r="L180" s="50"/>
      <c r="M180" s="50"/>
      <c r="N180" s="50"/>
      <c r="O180" s="50"/>
      <c r="P180" s="51" t="s">
        <v>7</v>
      </c>
      <c r="Q180" s="3" t="s">
        <v>152</v>
      </c>
    </row>
    <row r="181" spans="1:18" ht="13.2">
      <c r="A181" s="9">
        <v>14</v>
      </c>
      <c r="B181" s="3" t="s">
        <v>98</v>
      </c>
      <c r="C181" s="3">
        <v>2016</v>
      </c>
      <c r="D181" s="3" t="s">
        <v>99</v>
      </c>
      <c r="E181" s="31" t="s">
        <v>100</v>
      </c>
      <c r="F181" s="52"/>
      <c r="G181" s="52"/>
      <c r="H181" s="52"/>
      <c r="I181" s="52"/>
      <c r="J181" s="52"/>
      <c r="K181" s="50"/>
      <c r="L181" s="50"/>
      <c r="M181" s="50"/>
      <c r="N181" s="50"/>
      <c r="O181" s="50"/>
      <c r="P181" s="50"/>
      <c r="Q181" s="3" t="s">
        <v>176</v>
      </c>
    </row>
    <row r="182" spans="1:18" ht="13.2">
      <c r="A182" s="9">
        <v>14</v>
      </c>
      <c r="B182" s="3" t="s">
        <v>670</v>
      </c>
      <c r="C182" s="3">
        <v>2021</v>
      </c>
      <c r="D182" s="3" t="s">
        <v>671</v>
      </c>
      <c r="E182" s="31" t="s">
        <v>672</v>
      </c>
      <c r="F182" s="52"/>
      <c r="G182" s="52"/>
      <c r="H182" s="52"/>
      <c r="I182" s="52"/>
      <c r="J182" s="52"/>
      <c r="K182" s="50"/>
      <c r="L182" s="50"/>
      <c r="M182" s="50"/>
      <c r="N182" s="50"/>
      <c r="O182" s="50"/>
      <c r="P182" s="51" t="s">
        <v>7</v>
      </c>
      <c r="Q182" s="3" t="s">
        <v>152</v>
      </c>
    </row>
    <row r="183" spans="1:18" ht="13.2">
      <c r="A183" s="9">
        <v>14</v>
      </c>
      <c r="B183" s="3" t="s">
        <v>673</v>
      </c>
      <c r="C183" s="3">
        <v>2020</v>
      </c>
      <c r="D183" s="3" t="s">
        <v>674</v>
      </c>
      <c r="E183" s="31" t="s">
        <v>675</v>
      </c>
      <c r="F183" s="52"/>
      <c r="G183" s="52"/>
      <c r="H183" s="52"/>
      <c r="I183" s="52"/>
      <c r="J183" s="52"/>
      <c r="K183" s="50"/>
      <c r="L183" s="50"/>
      <c r="M183" s="50"/>
      <c r="N183" s="50"/>
      <c r="O183" s="50"/>
      <c r="P183" s="51" t="s">
        <v>7</v>
      </c>
      <c r="Q183" s="3" t="s">
        <v>152</v>
      </c>
    </row>
    <row r="184" spans="1:18" ht="13.2">
      <c r="A184" s="9">
        <v>14</v>
      </c>
      <c r="B184" s="3" t="s">
        <v>676</v>
      </c>
      <c r="C184" s="3">
        <v>2018</v>
      </c>
      <c r="D184" s="3" t="s">
        <v>677</v>
      </c>
      <c r="E184" s="31" t="s">
        <v>678</v>
      </c>
      <c r="F184" s="52"/>
      <c r="G184" s="52"/>
      <c r="H184" s="52"/>
      <c r="I184" s="52"/>
      <c r="J184" s="52"/>
      <c r="K184" s="50"/>
      <c r="L184" s="50"/>
      <c r="M184" s="50"/>
      <c r="N184" s="50"/>
      <c r="O184" s="50"/>
      <c r="P184" s="51" t="s">
        <v>7</v>
      </c>
      <c r="Q184" s="3" t="s">
        <v>152</v>
      </c>
    </row>
    <row r="185" spans="1:18" ht="13.2">
      <c r="A185" s="9">
        <v>14</v>
      </c>
      <c r="B185" s="3" t="s">
        <v>679</v>
      </c>
      <c r="C185" s="3">
        <v>2022</v>
      </c>
      <c r="D185" s="3" t="s">
        <v>680</v>
      </c>
      <c r="E185" s="31" t="s">
        <v>681</v>
      </c>
      <c r="F185" s="52"/>
      <c r="G185" s="52"/>
      <c r="H185" s="52"/>
      <c r="I185" s="53" t="s">
        <v>7</v>
      </c>
      <c r="J185" s="52"/>
      <c r="K185" s="50"/>
      <c r="L185" s="50"/>
      <c r="M185" s="50"/>
      <c r="N185" s="50"/>
      <c r="O185" s="50"/>
      <c r="P185" s="50"/>
      <c r="Q185" s="3" t="s">
        <v>152</v>
      </c>
      <c r="R185" s="3" t="s">
        <v>682</v>
      </c>
    </row>
    <row r="186" spans="1:18" ht="13.2">
      <c r="A186" s="9">
        <v>14</v>
      </c>
      <c r="B186" s="3" t="s">
        <v>683</v>
      </c>
      <c r="C186" s="3">
        <v>2020</v>
      </c>
      <c r="D186" s="3" t="s">
        <v>684</v>
      </c>
      <c r="E186" s="31" t="s">
        <v>685</v>
      </c>
      <c r="F186" s="52"/>
      <c r="G186" s="52"/>
      <c r="H186" s="52"/>
      <c r="I186" s="52"/>
      <c r="J186" s="52"/>
      <c r="K186" s="50"/>
      <c r="L186" s="50"/>
      <c r="M186" s="50"/>
      <c r="N186" s="50"/>
      <c r="O186" s="50"/>
      <c r="P186" s="51" t="s">
        <v>7</v>
      </c>
      <c r="Q186" s="3" t="s">
        <v>152</v>
      </c>
    </row>
    <row r="187" spans="1:18" ht="13.2">
      <c r="A187" s="9">
        <v>14</v>
      </c>
      <c r="B187" s="3" t="s">
        <v>686</v>
      </c>
      <c r="C187" s="3">
        <v>2019</v>
      </c>
      <c r="D187" s="3" t="s">
        <v>687</v>
      </c>
      <c r="E187" s="31" t="s">
        <v>688</v>
      </c>
      <c r="F187" s="52"/>
      <c r="G187" s="52"/>
      <c r="H187" s="52"/>
      <c r="I187" s="52"/>
      <c r="J187" s="52"/>
      <c r="K187" s="50"/>
      <c r="L187" s="50"/>
      <c r="M187" s="50"/>
      <c r="N187" s="50"/>
      <c r="O187" s="50"/>
      <c r="P187" s="51" t="s">
        <v>7</v>
      </c>
      <c r="Q187" s="3" t="s">
        <v>152</v>
      </c>
    </row>
    <row r="188" spans="1:18" ht="13.2">
      <c r="A188" s="9">
        <v>14</v>
      </c>
      <c r="B188" s="3" t="s">
        <v>689</v>
      </c>
      <c r="C188" s="3">
        <v>2018</v>
      </c>
      <c r="D188" s="3" t="s">
        <v>690</v>
      </c>
      <c r="E188" s="31" t="s">
        <v>678</v>
      </c>
      <c r="F188" s="52"/>
      <c r="G188" s="53"/>
      <c r="H188" s="53"/>
      <c r="I188" s="52"/>
      <c r="J188" s="52"/>
      <c r="K188" s="50"/>
      <c r="L188" s="50"/>
      <c r="M188" s="50"/>
      <c r="N188" s="51"/>
      <c r="O188" s="50"/>
      <c r="P188" s="51" t="s">
        <v>7</v>
      </c>
      <c r="Q188" s="3" t="s">
        <v>152</v>
      </c>
    </row>
    <row r="189" spans="1:18" ht="13.2">
      <c r="A189" s="9">
        <v>14</v>
      </c>
      <c r="B189" s="3" t="s">
        <v>691</v>
      </c>
      <c r="C189" s="3">
        <v>2020</v>
      </c>
      <c r="D189" s="3" t="s">
        <v>692</v>
      </c>
      <c r="E189" s="31" t="s">
        <v>693</v>
      </c>
      <c r="F189" s="52"/>
      <c r="G189" s="53"/>
      <c r="H189" s="53"/>
      <c r="I189" s="52"/>
      <c r="J189" s="52"/>
      <c r="K189" s="50"/>
      <c r="L189" s="50"/>
      <c r="M189" s="50"/>
      <c r="N189" s="51"/>
      <c r="O189" s="50"/>
      <c r="P189" s="51" t="s">
        <v>7</v>
      </c>
      <c r="Q189" s="3" t="s">
        <v>152</v>
      </c>
    </row>
    <row r="190" spans="1:18" ht="13.2">
      <c r="A190" s="9">
        <v>15</v>
      </c>
      <c r="B190" s="3" t="s">
        <v>694</v>
      </c>
      <c r="C190" s="3">
        <v>2022</v>
      </c>
      <c r="D190" s="3" t="s">
        <v>695</v>
      </c>
      <c r="E190" s="31" t="s">
        <v>696</v>
      </c>
      <c r="F190" s="52"/>
      <c r="G190" s="53"/>
      <c r="H190" s="53" t="s">
        <v>7</v>
      </c>
      <c r="I190" s="52"/>
      <c r="J190" s="52"/>
      <c r="K190" s="50"/>
      <c r="L190" s="50"/>
      <c r="M190" s="50"/>
      <c r="N190" s="51" t="s">
        <v>7</v>
      </c>
      <c r="O190" s="50"/>
      <c r="P190" s="50"/>
      <c r="Q190" s="3" t="s">
        <v>152</v>
      </c>
    </row>
    <row r="191" spans="1:18" ht="13.2">
      <c r="A191" s="9">
        <v>15</v>
      </c>
      <c r="B191" s="3" t="s">
        <v>697</v>
      </c>
      <c r="C191" s="3">
        <v>2021</v>
      </c>
      <c r="D191" s="3" t="s">
        <v>698</v>
      </c>
      <c r="E191" s="31" t="s">
        <v>699</v>
      </c>
      <c r="F191" s="52"/>
      <c r="G191" s="52"/>
      <c r="H191" s="53" t="s">
        <v>7</v>
      </c>
      <c r="I191" s="52"/>
      <c r="J191" s="52"/>
      <c r="K191" s="50"/>
      <c r="L191" s="50"/>
      <c r="M191" s="50"/>
      <c r="N191" s="50"/>
      <c r="O191" s="50"/>
      <c r="P191" s="50"/>
      <c r="Q191" s="3" t="s">
        <v>152</v>
      </c>
    </row>
    <row r="192" spans="1:18" ht="13.2">
      <c r="A192" s="9">
        <v>15</v>
      </c>
      <c r="B192" s="3" t="s">
        <v>700</v>
      </c>
      <c r="C192" s="3">
        <v>2021</v>
      </c>
      <c r="D192" s="3" t="s">
        <v>701</v>
      </c>
      <c r="E192" s="31" t="s">
        <v>702</v>
      </c>
      <c r="F192" s="52"/>
      <c r="G192" s="52"/>
      <c r="H192" s="53" t="s">
        <v>7</v>
      </c>
      <c r="I192" s="52"/>
      <c r="J192" s="52"/>
      <c r="K192" s="50"/>
      <c r="L192" s="50"/>
      <c r="M192" s="50"/>
      <c r="N192" s="50"/>
      <c r="O192" s="50"/>
      <c r="P192" s="50"/>
      <c r="Q192" s="3" t="s">
        <v>152</v>
      </c>
    </row>
    <row r="193" spans="1:18" ht="13.2">
      <c r="A193" s="9">
        <v>15</v>
      </c>
      <c r="B193" s="3" t="s">
        <v>703</v>
      </c>
      <c r="C193" s="3">
        <v>2022</v>
      </c>
      <c r="D193" s="3" t="s">
        <v>704</v>
      </c>
      <c r="E193" s="31" t="s">
        <v>705</v>
      </c>
      <c r="F193" s="52"/>
      <c r="G193" s="52"/>
      <c r="H193" s="53" t="s">
        <v>7</v>
      </c>
      <c r="I193" s="52"/>
      <c r="J193" s="52"/>
      <c r="K193" s="50"/>
      <c r="L193" s="50"/>
      <c r="M193" s="50"/>
      <c r="N193" s="50"/>
      <c r="O193" s="50"/>
      <c r="P193" s="50"/>
      <c r="Q193" s="3" t="s">
        <v>152</v>
      </c>
      <c r="R193" s="3" t="s">
        <v>706</v>
      </c>
    </row>
    <row r="194" spans="1:18" ht="13.2">
      <c r="A194" s="9">
        <v>15</v>
      </c>
      <c r="B194" s="3" t="s">
        <v>707</v>
      </c>
      <c r="C194" s="3">
        <v>2023</v>
      </c>
      <c r="D194" s="3" t="s">
        <v>708</v>
      </c>
      <c r="E194" s="31" t="s">
        <v>709</v>
      </c>
      <c r="F194" s="52"/>
      <c r="G194" s="52"/>
      <c r="H194" s="52"/>
      <c r="I194" s="52"/>
      <c r="J194" s="53"/>
      <c r="K194" s="50"/>
      <c r="L194" s="50"/>
      <c r="M194" s="50"/>
      <c r="N194" s="51" t="s">
        <v>7</v>
      </c>
      <c r="O194" s="50"/>
      <c r="P194" s="50"/>
      <c r="Q194" s="3" t="s">
        <v>152</v>
      </c>
      <c r="R194" s="3" t="s">
        <v>710</v>
      </c>
    </row>
    <row r="195" spans="1:18" ht="13.2">
      <c r="A195" s="9">
        <v>15</v>
      </c>
      <c r="B195" s="3" t="s">
        <v>711</v>
      </c>
      <c r="C195" s="3">
        <v>2023</v>
      </c>
      <c r="D195" s="3" t="s">
        <v>712</v>
      </c>
      <c r="E195" s="31" t="s">
        <v>713</v>
      </c>
      <c r="F195" s="52"/>
      <c r="G195" s="53" t="s">
        <v>7</v>
      </c>
      <c r="H195" s="53" t="s">
        <v>7</v>
      </c>
      <c r="I195" s="52"/>
      <c r="J195" s="55"/>
      <c r="K195" s="50"/>
      <c r="L195" s="50"/>
      <c r="M195" s="50"/>
      <c r="N195" s="50"/>
      <c r="O195" s="50"/>
      <c r="P195" s="50"/>
      <c r="Q195" s="3" t="s">
        <v>152</v>
      </c>
      <c r="R195" s="3" t="s">
        <v>714</v>
      </c>
    </row>
    <row r="196" spans="1:18" ht="13.2">
      <c r="A196" s="9">
        <v>15</v>
      </c>
      <c r="B196" s="3" t="s">
        <v>715</v>
      </c>
      <c r="C196" s="3">
        <v>2023</v>
      </c>
      <c r="D196" s="3" t="s">
        <v>716</v>
      </c>
      <c r="E196" s="31" t="s">
        <v>717</v>
      </c>
      <c r="F196" s="52"/>
      <c r="G196" s="52"/>
      <c r="H196" s="52"/>
      <c r="I196" s="52"/>
      <c r="J196" s="55"/>
      <c r="K196" s="50"/>
      <c r="L196" s="50"/>
      <c r="M196" s="50"/>
      <c r="N196" s="51" t="s">
        <v>7</v>
      </c>
      <c r="O196" s="50"/>
      <c r="P196" s="50"/>
      <c r="Q196" s="3" t="s">
        <v>152</v>
      </c>
    </row>
    <row r="197" spans="1:18" ht="13.2">
      <c r="A197" s="9">
        <v>15</v>
      </c>
      <c r="B197" s="3" t="s">
        <v>718</v>
      </c>
      <c r="C197" s="3">
        <v>2022</v>
      </c>
      <c r="D197" s="3" t="s">
        <v>719</v>
      </c>
      <c r="E197" s="31" t="s">
        <v>720</v>
      </c>
      <c r="F197" s="52"/>
      <c r="G197" s="52"/>
      <c r="H197" s="52"/>
      <c r="I197" s="52"/>
      <c r="J197" s="52"/>
      <c r="K197" s="50"/>
      <c r="L197" s="50"/>
      <c r="M197" s="51" t="s">
        <v>7</v>
      </c>
      <c r="N197" s="50"/>
      <c r="O197" s="50"/>
      <c r="P197" s="50"/>
      <c r="Q197" s="3" t="s">
        <v>152</v>
      </c>
      <c r="R197" s="3" t="s">
        <v>721</v>
      </c>
    </row>
    <row r="198" spans="1:18" ht="15">
      <c r="A198" s="9">
        <v>15</v>
      </c>
      <c r="B198" s="3" t="s">
        <v>722</v>
      </c>
      <c r="C198" s="3">
        <v>2022</v>
      </c>
      <c r="D198" s="69" t="s">
        <v>723</v>
      </c>
      <c r="E198" s="31" t="s">
        <v>724</v>
      </c>
      <c r="F198" s="52"/>
      <c r="G198" s="52"/>
      <c r="H198" s="52"/>
      <c r="I198" s="52"/>
      <c r="J198" s="52"/>
      <c r="K198" s="50"/>
      <c r="L198" s="50"/>
      <c r="M198" s="50"/>
      <c r="N198" s="51" t="s">
        <v>7</v>
      </c>
      <c r="O198" s="50"/>
      <c r="P198" s="50"/>
      <c r="Q198" s="3" t="s">
        <v>152</v>
      </c>
    </row>
    <row r="199" spans="1:18" ht="13.2">
      <c r="A199" s="9">
        <v>15</v>
      </c>
      <c r="B199" s="3" t="s">
        <v>700</v>
      </c>
      <c r="C199" s="3">
        <v>2021</v>
      </c>
      <c r="D199" s="3" t="s">
        <v>725</v>
      </c>
      <c r="E199" s="31" t="s">
        <v>702</v>
      </c>
      <c r="F199" s="52"/>
      <c r="G199" s="52"/>
      <c r="H199" s="53" t="s">
        <v>7</v>
      </c>
      <c r="I199" s="52"/>
      <c r="J199" s="52"/>
      <c r="K199" s="50"/>
      <c r="L199" s="50"/>
      <c r="M199" s="50"/>
      <c r="N199" s="50"/>
      <c r="O199" s="50"/>
      <c r="P199" s="50"/>
      <c r="Q199" s="3" t="s">
        <v>152</v>
      </c>
    </row>
    <row r="200" spans="1:18" ht="13.2">
      <c r="A200" s="9">
        <v>15</v>
      </c>
      <c r="B200" s="3" t="s">
        <v>726</v>
      </c>
      <c r="C200" s="3">
        <v>2023</v>
      </c>
      <c r="D200" s="3" t="s">
        <v>727</v>
      </c>
      <c r="E200" s="31" t="s">
        <v>728</v>
      </c>
      <c r="F200" s="52"/>
      <c r="G200" s="53" t="s">
        <v>7</v>
      </c>
      <c r="H200" s="53" t="s">
        <v>7</v>
      </c>
      <c r="I200" s="52"/>
      <c r="J200" s="55"/>
      <c r="K200" s="50"/>
      <c r="L200" s="50"/>
      <c r="M200" s="50"/>
      <c r="N200" s="50"/>
      <c r="O200" s="50"/>
      <c r="P200" s="50"/>
      <c r="Q200" s="3" t="s">
        <v>152</v>
      </c>
    </row>
    <row r="201" spans="1:18" ht="13.2">
      <c r="A201" s="9">
        <v>15</v>
      </c>
      <c r="B201" s="3" t="s">
        <v>729</v>
      </c>
      <c r="C201" s="3">
        <v>2023</v>
      </c>
      <c r="D201" s="3" t="s">
        <v>730</v>
      </c>
      <c r="E201" s="31" t="s">
        <v>731</v>
      </c>
      <c r="F201" s="52"/>
      <c r="G201" s="52"/>
      <c r="H201" s="52"/>
      <c r="I201" s="52"/>
      <c r="J201" s="52"/>
      <c r="K201" s="50"/>
      <c r="L201" s="50"/>
      <c r="M201" s="51"/>
      <c r="N201" s="51" t="s">
        <v>7</v>
      </c>
      <c r="O201" s="50"/>
      <c r="P201" s="50"/>
      <c r="Q201" s="3" t="s">
        <v>152</v>
      </c>
    </row>
    <row r="202" spans="1:18" ht="13.2">
      <c r="A202" s="9">
        <v>15</v>
      </c>
      <c r="B202" s="3" t="s">
        <v>732</v>
      </c>
      <c r="C202" s="3">
        <v>2023</v>
      </c>
      <c r="D202" s="3" t="s">
        <v>733</v>
      </c>
      <c r="E202" s="31" t="s">
        <v>734</v>
      </c>
      <c r="F202" s="52"/>
      <c r="G202" s="53" t="s">
        <v>7</v>
      </c>
      <c r="H202" s="53" t="s">
        <v>7</v>
      </c>
      <c r="I202" s="52"/>
      <c r="J202" s="52"/>
      <c r="K202" s="50"/>
      <c r="L202" s="50"/>
      <c r="M202" s="51"/>
      <c r="N202" s="50"/>
      <c r="O202" s="50"/>
      <c r="P202" s="50"/>
      <c r="Q202" s="3" t="s">
        <v>152</v>
      </c>
    </row>
    <row r="203" spans="1:18" ht="13.2">
      <c r="A203" s="9">
        <v>15</v>
      </c>
      <c r="B203" s="3" t="s">
        <v>735</v>
      </c>
      <c r="C203" s="3">
        <v>2023</v>
      </c>
      <c r="D203" s="3" t="s">
        <v>736</v>
      </c>
      <c r="E203" s="31" t="s">
        <v>737</v>
      </c>
      <c r="F203" s="52"/>
      <c r="G203" s="52"/>
      <c r="H203" s="53" t="s">
        <v>7</v>
      </c>
      <c r="I203" s="52"/>
      <c r="J203" s="52"/>
      <c r="K203" s="50"/>
      <c r="L203" s="50"/>
      <c r="M203" s="51"/>
      <c r="N203" s="50"/>
      <c r="O203" s="50"/>
      <c r="P203" s="50"/>
      <c r="Q203" s="3" t="s">
        <v>152</v>
      </c>
      <c r="R203" s="3" t="s">
        <v>738</v>
      </c>
    </row>
    <row r="204" spans="1:18" ht="13.2">
      <c r="A204" s="9">
        <v>16</v>
      </c>
      <c r="B204" s="3" t="s">
        <v>739</v>
      </c>
      <c r="C204" s="3">
        <v>2019</v>
      </c>
      <c r="D204" s="3" t="s">
        <v>740</v>
      </c>
      <c r="E204" s="31" t="s">
        <v>741</v>
      </c>
      <c r="F204" s="52"/>
      <c r="G204" s="52"/>
      <c r="H204" s="52"/>
      <c r="I204" s="52"/>
      <c r="J204" s="52"/>
      <c r="K204" s="50"/>
      <c r="L204" s="50"/>
      <c r="M204" s="51" t="s">
        <v>7</v>
      </c>
      <c r="N204" s="50"/>
      <c r="O204" s="50"/>
      <c r="P204" s="50"/>
      <c r="Q204" s="3" t="s">
        <v>152</v>
      </c>
    </row>
    <row r="205" spans="1:18" ht="13.2">
      <c r="A205" s="9">
        <v>16</v>
      </c>
      <c r="B205" s="3" t="s">
        <v>742</v>
      </c>
      <c r="C205" s="3">
        <v>2018</v>
      </c>
      <c r="D205" s="3" t="s">
        <v>743</v>
      </c>
      <c r="E205" s="31" t="s">
        <v>744</v>
      </c>
      <c r="F205" s="52"/>
      <c r="G205" s="52"/>
      <c r="H205" s="53" t="s">
        <v>7</v>
      </c>
      <c r="I205" s="52"/>
      <c r="J205" s="52"/>
      <c r="K205" s="51" t="s">
        <v>7</v>
      </c>
      <c r="L205" s="50"/>
      <c r="M205" s="50"/>
      <c r="N205" s="50"/>
      <c r="O205" s="50"/>
      <c r="P205" s="50"/>
      <c r="Q205" s="3" t="s">
        <v>152</v>
      </c>
    </row>
    <row r="206" spans="1:18" ht="13.2">
      <c r="A206" s="9">
        <v>16</v>
      </c>
      <c r="B206" s="3" t="s">
        <v>745</v>
      </c>
      <c r="C206" s="3">
        <v>2023</v>
      </c>
      <c r="D206" s="3" t="s">
        <v>746</v>
      </c>
      <c r="E206" s="31" t="s">
        <v>747</v>
      </c>
      <c r="F206" s="52"/>
      <c r="G206" s="53" t="s">
        <v>7</v>
      </c>
      <c r="H206" s="53" t="s">
        <v>7</v>
      </c>
      <c r="I206" s="53"/>
      <c r="J206" s="52"/>
      <c r="K206" s="50"/>
      <c r="L206" s="51"/>
      <c r="M206" s="50"/>
      <c r="N206" s="50"/>
      <c r="O206" s="50"/>
      <c r="P206" s="50"/>
      <c r="Q206" s="3" t="s">
        <v>152</v>
      </c>
    </row>
    <row r="207" spans="1:18" ht="13.2">
      <c r="A207" s="9">
        <v>16</v>
      </c>
      <c r="B207" s="3" t="s">
        <v>748</v>
      </c>
      <c r="C207" s="3">
        <v>2016</v>
      </c>
      <c r="D207" s="3" t="s">
        <v>749</v>
      </c>
      <c r="E207" s="31" t="s">
        <v>750</v>
      </c>
      <c r="F207" s="52"/>
      <c r="G207" s="52"/>
      <c r="H207" s="52"/>
      <c r="I207" s="52"/>
      <c r="J207" s="52"/>
      <c r="K207" s="50"/>
      <c r="L207" s="51" t="s">
        <v>7</v>
      </c>
      <c r="M207" s="50"/>
      <c r="N207" s="50"/>
      <c r="O207" s="50"/>
      <c r="P207" s="50"/>
      <c r="Q207" s="3" t="s">
        <v>152</v>
      </c>
    </row>
    <row r="208" spans="1:18" ht="13.2">
      <c r="A208" s="9"/>
      <c r="E208" s="54"/>
    </row>
    <row r="209" spans="1:5" ht="13.2">
      <c r="A209" s="9"/>
      <c r="E209" s="54"/>
    </row>
    <row r="210" spans="1:5" ht="13.2">
      <c r="A210" s="9"/>
      <c r="E210" s="54"/>
    </row>
    <row r="211" spans="1:5" ht="13.2">
      <c r="A211" s="9"/>
      <c r="E211" s="54"/>
    </row>
    <row r="212" spans="1:5" ht="13.2">
      <c r="A212" s="9"/>
      <c r="E212" s="54"/>
    </row>
    <row r="213" spans="1:5" ht="13.2">
      <c r="A213" s="9"/>
      <c r="E213" s="54"/>
    </row>
    <row r="214" spans="1:5" ht="13.2">
      <c r="A214" s="9"/>
      <c r="E214" s="54"/>
    </row>
    <row r="215" spans="1:5" ht="13.2">
      <c r="A215" s="9"/>
      <c r="E215" s="54"/>
    </row>
    <row r="216" spans="1:5" ht="13.2">
      <c r="E216" s="54"/>
    </row>
    <row r="217" spans="1:5" ht="13.2">
      <c r="E217" s="54"/>
    </row>
    <row r="218" spans="1:5" ht="13.2">
      <c r="E218" s="54"/>
    </row>
    <row r="219" spans="1:5" ht="13.2">
      <c r="E219" s="54"/>
    </row>
    <row r="220" spans="1:5" ht="13.2">
      <c r="E220" s="54"/>
    </row>
    <row r="221" spans="1:5" ht="13.2">
      <c r="E221" s="54"/>
    </row>
    <row r="222" spans="1:5" ht="13.2">
      <c r="E222" s="54"/>
    </row>
    <row r="223" spans="1:5" ht="13.2">
      <c r="E223" s="54"/>
    </row>
    <row r="224" spans="1:5" ht="13.2">
      <c r="E224" s="54"/>
    </row>
    <row r="225" spans="5:5" ht="13.2">
      <c r="E225" s="54"/>
    </row>
    <row r="226" spans="5:5" ht="13.2">
      <c r="E226" s="54"/>
    </row>
    <row r="227" spans="5:5" ht="13.2">
      <c r="E227" s="54"/>
    </row>
    <row r="228" spans="5:5" ht="13.2">
      <c r="E228" s="54"/>
    </row>
    <row r="229" spans="5:5" ht="13.2">
      <c r="E229" s="54"/>
    </row>
    <row r="230" spans="5:5" ht="13.2">
      <c r="E230" s="54"/>
    </row>
    <row r="231" spans="5:5" ht="13.2">
      <c r="E231" s="54"/>
    </row>
    <row r="232" spans="5:5" ht="13.2">
      <c r="E232" s="54"/>
    </row>
    <row r="233" spans="5:5" ht="13.2">
      <c r="E233" s="54"/>
    </row>
    <row r="234" spans="5:5" ht="13.2">
      <c r="E234" s="54"/>
    </row>
    <row r="235" spans="5:5" ht="13.2">
      <c r="E235" s="54"/>
    </row>
    <row r="236" spans="5:5" ht="13.2">
      <c r="E236" s="54"/>
    </row>
    <row r="237" spans="5:5" ht="13.2">
      <c r="E237" s="54"/>
    </row>
    <row r="238" spans="5:5" ht="13.2">
      <c r="E238" s="54"/>
    </row>
    <row r="239" spans="5:5" ht="13.2">
      <c r="E239" s="54"/>
    </row>
    <row r="240" spans="5:5" ht="13.2">
      <c r="E240" s="54"/>
    </row>
    <row r="241" spans="5:5" ht="13.2">
      <c r="E241" s="54"/>
    </row>
    <row r="242" spans="5:5" ht="13.2">
      <c r="E242" s="54"/>
    </row>
    <row r="243" spans="5:5" ht="13.2">
      <c r="E243" s="54"/>
    </row>
    <row r="244" spans="5:5" ht="13.2">
      <c r="E244" s="54"/>
    </row>
    <row r="245" spans="5:5" ht="13.2">
      <c r="E245" s="54"/>
    </row>
    <row r="246" spans="5:5" ht="13.2">
      <c r="E246" s="54"/>
    </row>
    <row r="247" spans="5:5" ht="13.2">
      <c r="E247" s="54"/>
    </row>
    <row r="248" spans="5:5" ht="13.2">
      <c r="E248" s="54"/>
    </row>
    <row r="249" spans="5:5" ht="13.2">
      <c r="E249" s="54"/>
    </row>
    <row r="250" spans="5:5" ht="13.2">
      <c r="E250" s="54"/>
    </row>
    <row r="251" spans="5:5" ht="13.2">
      <c r="E251" s="54"/>
    </row>
    <row r="252" spans="5:5" ht="13.2">
      <c r="E252" s="54"/>
    </row>
    <row r="253" spans="5:5" ht="13.2">
      <c r="E253" s="54"/>
    </row>
    <row r="254" spans="5:5" ht="13.2">
      <c r="E254" s="54"/>
    </row>
    <row r="255" spans="5:5" ht="13.2">
      <c r="E255" s="54"/>
    </row>
    <row r="256" spans="5:5" ht="13.2">
      <c r="E256" s="54"/>
    </row>
    <row r="257" spans="5:5" ht="13.2">
      <c r="E257" s="54"/>
    </row>
    <row r="258" spans="5:5" ht="13.2">
      <c r="E258" s="54"/>
    </row>
    <row r="259" spans="5:5" ht="13.2">
      <c r="E259" s="54"/>
    </row>
    <row r="260" spans="5:5" ht="13.2">
      <c r="E260" s="54"/>
    </row>
    <row r="261" spans="5:5" ht="13.2">
      <c r="E261" s="54"/>
    </row>
    <row r="262" spans="5:5" ht="13.2">
      <c r="E262" s="54"/>
    </row>
    <row r="263" spans="5:5" ht="13.2">
      <c r="E263" s="54"/>
    </row>
    <row r="264" spans="5:5" ht="13.2">
      <c r="E264" s="54"/>
    </row>
    <row r="265" spans="5:5" ht="13.2">
      <c r="E265" s="54"/>
    </row>
    <row r="266" spans="5:5" ht="13.2">
      <c r="E266" s="54"/>
    </row>
    <row r="267" spans="5:5" ht="13.2">
      <c r="E267" s="54"/>
    </row>
    <row r="268" spans="5:5" ht="13.2">
      <c r="E268" s="54"/>
    </row>
    <row r="269" spans="5:5" ht="13.2">
      <c r="E269" s="54"/>
    </row>
    <row r="270" spans="5:5" ht="13.2">
      <c r="E270" s="54"/>
    </row>
    <row r="271" spans="5:5" ht="13.2">
      <c r="E271" s="54"/>
    </row>
    <row r="272" spans="5:5" ht="13.2">
      <c r="E272" s="54"/>
    </row>
    <row r="273" spans="5:5" ht="13.2">
      <c r="E273" s="54"/>
    </row>
    <row r="274" spans="5:5" ht="13.2">
      <c r="E274" s="54"/>
    </row>
    <row r="275" spans="5:5" ht="13.2">
      <c r="E275" s="54"/>
    </row>
    <row r="276" spans="5:5" ht="13.2">
      <c r="E276" s="54"/>
    </row>
    <row r="277" spans="5:5" ht="13.2">
      <c r="E277" s="54"/>
    </row>
    <row r="278" spans="5:5" ht="13.2">
      <c r="E278" s="54"/>
    </row>
    <row r="279" spans="5:5" ht="13.2">
      <c r="E279" s="54"/>
    </row>
    <row r="280" spans="5:5" ht="13.2">
      <c r="E280" s="54"/>
    </row>
    <row r="281" spans="5:5" ht="13.2">
      <c r="E281" s="54"/>
    </row>
    <row r="282" spans="5:5" ht="13.2">
      <c r="E282" s="54"/>
    </row>
    <row r="283" spans="5:5" ht="13.2">
      <c r="E283" s="54"/>
    </row>
    <row r="284" spans="5:5" ht="13.2">
      <c r="E284" s="54"/>
    </row>
    <row r="285" spans="5:5" ht="13.2">
      <c r="E285" s="54"/>
    </row>
    <row r="286" spans="5:5" ht="13.2">
      <c r="E286" s="54"/>
    </row>
    <row r="287" spans="5:5" ht="13.2">
      <c r="E287" s="54"/>
    </row>
    <row r="288" spans="5:5" ht="13.2">
      <c r="E288" s="54"/>
    </row>
    <row r="289" spans="5:5" ht="13.2">
      <c r="E289" s="54"/>
    </row>
    <row r="290" spans="5:5" ht="13.2">
      <c r="E290" s="54"/>
    </row>
    <row r="291" spans="5:5" ht="13.2">
      <c r="E291" s="54"/>
    </row>
    <row r="292" spans="5:5" ht="13.2">
      <c r="E292" s="54"/>
    </row>
    <row r="293" spans="5:5" ht="13.2">
      <c r="E293" s="54"/>
    </row>
    <row r="294" spans="5:5" ht="13.2">
      <c r="E294" s="54"/>
    </row>
    <row r="295" spans="5:5" ht="13.2">
      <c r="E295" s="54"/>
    </row>
    <row r="296" spans="5:5" ht="13.2">
      <c r="E296" s="54"/>
    </row>
    <row r="297" spans="5:5" ht="13.2">
      <c r="E297" s="54"/>
    </row>
    <row r="298" spans="5:5" ht="13.2">
      <c r="E298" s="54"/>
    </row>
    <row r="299" spans="5:5" ht="13.2">
      <c r="E299" s="54"/>
    </row>
    <row r="300" spans="5:5" ht="13.2">
      <c r="E300" s="54"/>
    </row>
    <row r="301" spans="5:5" ht="13.2">
      <c r="E301" s="54"/>
    </row>
    <row r="302" spans="5:5" ht="13.2">
      <c r="E302" s="54"/>
    </row>
    <row r="303" spans="5:5" ht="13.2">
      <c r="E303" s="54"/>
    </row>
    <row r="304" spans="5:5" ht="13.2">
      <c r="E304" s="54"/>
    </row>
    <row r="305" spans="5:5" ht="13.2">
      <c r="E305" s="54"/>
    </row>
    <row r="306" spans="5:5" ht="13.2">
      <c r="E306" s="54"/>
    </row>
    <row r="307" spans="5:5" ht="13.2">
      <c r="E307" s="54"/>
    </row>
    <row r="308" spans="5:5" ht="13.2">
      <c r="E308" s="54"/>
    </row>
    <row r="309" spans="5:5" ht="13.2">
      <c r="E309" s="54"/>
    </row>
    <row r="310" spans="5:5" ht="13.2">
      <c r="E310" s="54"/>
    </row>
    <row r="311" spans="5:5" ht="13.2">
      <c r="E311" s="54"/>
    </row>
    <row r="312" spans="5:5" ht="13.2">
      <c r="E312" s="54"/>
    </row>
    <row r="313" spans="5:5" ht="13.2">
      <c r="E313" s="54"/>
    </row>
    <row r="314" spans="5:5" ht="13.2">
      <c r="E314" s="54"/>
    </row>
    <row r="315" spans="5:5" ht="13.2">
      <c r="E315" s="54"/>
    </row>
    <row r="316" spans="5:5" ht="13.2">
      <c r="E316" s="54"/>
    </row>
    <row r="317" spans="5:5" ht="13.2">
      <c r="E317" s="54"/>
    </row>
    <row r="318" spans="5:5" ht="13.2">
      <c r="E318" s="54"/>
    </row>
    <row r="319" spans="5:5" ht="13.2">
      <c r="E319" s="54"/>
    </row>
    <row r="320" spans="5:5" ht="13.2">
      <c r="E320" s="54"/>
    </row>
    <row r="321" spans="5:5" ht="13.2">
      <c r="E321" s="54"/>
    </row>
    <row r="322" spans="5:5" ht="13.2">
      <c r="E322" s="54"/>
    </row>
    <row r="323" spans="5:5" ht="13.2">
      <c r="E323" s="54"/>
    </row>
    <row r="324" spans="5:5" ht="13.2">
      <c r="E324" s="54"/>
    </row>
    <row r="325" spans="5:5" ht="13.2">
      <c r="E325" s="54"/>
    </row>
    <row r="326" spans="5:5" ht="13.2">
      <c r="E326" s="54"/>
    </row>
    <row r="327" spans="5:5" ht="13.2">
      <c r="E327" s="54"/>
    </row>
    <row r="328" spans="5:5" ht="13.2">
      <c r="E328" s="54"/>
    </row>
    <row r="329" spans="5:5" ht="13.2">
      <c r="E329" s="54"/>
    </row>
    <row r="330" spans="5:5" ht="13.2">
      <c r="E330" s="54"/>
    </row>
    <row r="331" spans="5:5" ht="13.2">
      <c r="E331" s="54"/>
    </row>
    <row r="332" spans="5:5" ht="13.2">
      <c r="E332" s="54"/>
    </row>
    <row r="333" spans="5:5" ht="13.2">
      <c r="E333" s="54"/>
    </row>
    <row r="334" spans="5:5" ht="13.2">
      <c r="E334" s="54"/>
    </row>
    <row r="335" spans="5:5" ht="13.2">
      <c r="E335" s="54"/>
    </row>
    <row r="336" spans="5:5" ht="13.2">
      <c r="E336" s="54"/>
    </row>
    <row r="337" spans="5:5" ht="13.2">
      <c r="E337" s="54"/>
    </row>
    <row r="338" spans="5:5" ht="13.2">
      <c r="E338" s="54"/>
    </row>
    <row r="339" spans="5:5" ht="13.2">
      <c r="E339" s="54"/>
    </row>
    <row r="340" spans="5:5" ht="13.2">
      <c r="E340" s="54"/>
    </row>
    <row r="341" spans="5:5" ht="13.2">
      <c r="E341" s="54"/>
    </row>
    <row r="342" spans="5:5" ht="13.2">
      <c r="E342" s="54"/>
    </row>
    <row r="343" spans="5:5" ht="13.2">
      <c r="E343" s="54"/>
    </row>
    <row r="344" spans="5:5" ht="13.2">
      <c r="E344" s="54"/>
    </row>
    <row r="345" spans="5:5" ht="13.2">
      <c r="E345" s="54"/>
    </row>
    <row r="346" spans="5:5" ht="13.2">
      <c r="E346" s="54"/>
    </row>
    <row r="347" spans="5:5" ht="13.2">
      <c r="E347" s="54"/>
    </row>
    <row r="348" spans="5:5" ht="13.2">
      <c r="E348" s="54"/>
    </row>
    <row r="349" spans="5:5" ht="13.2">
      <c r="E349" s="54"/>
    </row>
    <row r="350" spans="5:5" ht="13.2">
      <c r="E350" s="54"/>
    </row>
    <row r="351" spans="5:5" ht="13.2">
      <c r="E351" s="54"/>
    </row>
    <row r="352" spans="5:5" ht="13.2">
      <c r="E352" s="54"/>
    </row>
    <row r="353" spans="5:5" ht="13.2">
      <c r="E353" s="54"/>
    </row>
    <row r="354" spans="5:5" ht="13.2">
      <c r="E354" s="54"/>
    </row>
    <row r="355" spans="5:5" ht="13.2">
      <c r="E355" s="54"/>
    </row>
    <row r="356" spans="5:5" ht="13.2">
      <c r="E356" s="54"/>
    </row>
    <row r="357" spans="5:5" ht="13.2">
      <c r="E357" s="54"/>
    </row>
    <row r="358" spans="5:5" ht="13.2">
      <c r="E358" s="54"/>
    </row>
    <row r="359" spans="5:5" ht="13.2">
      <c r="E359" s="54"/>
    </row>
    <row r="360" spans="5:5" ht="13.2">
      <c r="E360" s="54"/>
    </row>
    <row r="361" spans="5:5" ht="13.2">
      <c r="E361" s="54"/>
    </row>
    <row r="362" spans="5:5" ht="13.2">
      <c r="E362" s="54"/>
    </row>
    <row r="363" spans="5:5" ht="13.2">
      <c r="E363" s="54"/>
    </row>
    <row r="364" spans="5:5" ht="13.2">
      <c r="E364" s="54"/>
    </row>
    <row r="365" spans="5:5" ht="13.2">
      <c r="E365" s="54"/>
    </row>
    <row r="366" spans="5:5" ht="13.2">
      <c r="E366" s="54"/>
    </row>
    <row r="367" spans="5:5" ht="13.2">
      <c r="E367" s="54"/>
    </row>
    <row r="368" spans="5:5" ht="13.2">
      <c r="E368" s="54"/>
    </row>
    <row r="369" spans="5:5" ht="13.2">
      <c r="E369" s="54"/>
    </row>
    <row r="370" spans="5:5" ht="13.2">
      <c r="E370" s="54"/>
    </row>
    <row r="371" spans="5:5" ht="13.2">
      <c r="E371" s="54"/>
    </row>
    <row r="372" spans="5:5" ht="13.2">
      <c r="E372" s="54"/>
    </row>
    <row r="373" spans="5:5" ht="13.2">
      <c r="E373" s="54"/>
    </row>
    <row r="374" spans="5:5" ht="13.2">
      <c r="E374" s="54"/>
    </row>
    <row r="375" spans="5:5" ht="13.2">
      <c r="E375" s="54"/>
    </row>
    <row r="376" spans="5:5" ht="13.2">
      <c r="E376" s="54"/>
    </row>
    <row r="377" spans="5:5" ht="13.2">
      <c r="E377" s="54"/>
    </row>
    <row r="378" spans="5:5" ht="13.2">
      <c r="E378" s="54"/>
    </row>
    <row r="379" spans="5:5" ht="13.2">
      <c r="E379" s="54"/>
    </row>
    <row r="380" spans="5:5" ht="13.2">
      <c r="E380" s="54"/>
    </row>
    <row r="381" spans="5:5" ht="13.2">
      <c r="E381" s="54"/>
    </row>
    <row r="382" spans="5:5" ht="13.2">
      <c r="E382" s="54"/>
    </row>
    <row r="383" spans="5:5" ht="13.2">
      <c r="E383" s="54"/>
    </row>
    <row r="384" spans="5:5" ht="13.2">
      <c r="E384" s="54"/>
    </row>
    <row r="385" spans="5:5" ht="13.2">
      <c r="E385" s="54"/>
    </row>
    <row r="386" spans="5:5" ht="13.2">
      <c r="E386" s="54"/>
    </row>
    <row r="387" spans="5:5" ht="13.2">
      <c r="E387" s="54"/>
    </row>
    <row r="388" spans="5:5" ht="13.2">
      <c r="E388" s="54"/>
    </row>
    <row r="389" spans="5:5" ht="13.2">
      <c r="E389" s="54"/>
    </row>
    <row r="390" spans="5:5" ht="13.2">
      <c r="E390" s="54"/>
    </row>
    <row r="391" spans="5:5" ht="13.2">
      <c r="E391" s="54"/>
    </row>
    <row r="392" spans="5:5" ht="13.2">
      <c r="E392" s="54"/>
    </row>
    <row r="393" spans="5:5" ht="13.2">
      <c r="E393" s="54"/>
    </row>
    <row r="394" spans="5:5" ht="13.2">
      <c r="E394" s="54"/>
    </row>
    <row r="395" spans="5:5" ht="13.2">
      <c r="E395" s="54"/>
    </row>
    <row r="396" spans="5:5" ht="13.2">
      <c r="E396" s="54"/>
    </row>
    <row r="397" spans="5:5" ht="13.2">
      <c r="E397" s="54"/>
    </row>
    <row r="398" spans="5:5" ht="13.2">
      <c r="E398" s="54"/>
    </row>
    <row r="399" spans="5:5" ht="13.2">
      <c r="E399" s="54"/>
    </row>
    <row r="400" spans="5:5" ht="13.2">
      <c r="E400" s="54"/>
    </row>
    <row r="401" spans="5:5" ht="13.2">
      <c r="E401" s="54"/>
    </row>
    <row r="402" spans="5:5" ht="13.2">
      <c r="E402" s="54"/>
    </row>
    <row r="403" spans="5:5" ht="13.2">
      <c r="E403" s="54"/>
    </row>
    <row r="404" spans="5:5" ht="13.2">
      <c r="E404" s="54"/>
    </row>
    <row r="405" spans="5:5" ht="13.2">
      <c r="E405" s="54"/>
    </row>
    <row r="406" spans="5:5" ht="13.2">
      <c r="E406" s="54"/>
    </row>
    <row r="407" spans="5:5" ht="13.2">
      <c r="E407" s="54"/>
    </row>
    <row r="408" spans="5:5" ht="13.2">
      <c r="E408" s="54"/>
    </row>
    <row r="409" spans="5:5" ht="13.2">
      <c r="E409" s="54"/>
    </row>
    <row r="410" spans="5:5" ht="13.2">
      <c r="E410" s="54"/>
    </row>
    <row r="411" spans="5:5" ht="13.2">
      <c r="E411" s="54"/>
    </row>
    <row r="412" spans="5:5" ht="13.2">
      <c r="E412" s="54"/>
    </row>
    <row r="413" spans="5:5" ht="13.2">
      <c r="E413" s="54"/>
    </row>
    <row r="414" spans="5:5" ht="13.2">
      <c r="E414" s="54"/>
    </row>
    <row r="415" spans="5:5" ht="13.2">
      <c r="E415" s="54"/>
    </row>
    <row r="416" spans="5:5" ht="13.2">
      <c r="E416" s="54"/>
    </row>
    <row r="417" spans="5:5" ht="13.2">
      <c r="E417" s="54"/>
    </row>
    <row r="418" spans="5:5" ht="13.2">
      <c r="E418" s="54"/>
    </row>
    <row r="419" spans="5:5" ht="13.2">
      <c r="E419" s="54"/>
    </row>
    <row r="420" spans="5:5" ht="13.2">
      <c r="E420" s="54"/>
    </row>
    <row r="421" spans="5:5" ht="13.2">
      <c r="E421" s="54"/>
    </row>
    <row r="422" spans="5:5" ht="13.2">
      <c r="E422" s="54"/>
    </row>
    <row r="423" spans="5:5" ht="13.2">
      <c r="E423" s="54"/>
    </row>
    <row r="424" spans="5:5" ht="13.2">
      <c r="E424" s="54"/>
    </row>
    <row r="425" spans="5:5" ht="13.2">
      <c r="E425" s="54"/>
    </row>
    <row r="426" spans="5:5" ht="13.2">
      <c r="E426" s="54"/>
    </row>
    <row r="427" spans="5:5" ht="13.2">
      <c r="E427" s="54"/>
    </row>
    <row r="428" spans="5:5" ht="13.2">
      <c r="E428" s="54"/>
    </row>
    <row r="429" spans="5:5" ht="13.2">
      <c r="E429" s="54"/>
    </row>
    <row r="430" spans="5:5" ht="13.2">
      <c r="E430" s="54"/>
    </row>
    <row r="431" spans="5:5" ht="13.2">
      <c r="E431" s="54"/>
    </row>
    <row r="432" spans="5:5" ht="13.2">
      <c r="E432" s="54"/>
    </row>
    <row r="433" spans="5:5" ht="13.2">
      <c r="E433" s="54"/>
    </row>
    <row r="434" spans="5:5" ht="13.2">
      <c r="E434" s="54"/>
    </row>
    <row r="435" spans="5:5" ht="13.2">
      <c r="E435" s="54"/>
    </row>
    <row r="436" spans="5:5" ht="13.2">
      <c r="E436" s="54"/>
    </row>
    <row r="437" spans="5:5" ht="13.2">
      <c r="E437" s="54"/>
    </row>
    <row r="438" spans="5:5" ht="13.2">
      <c r="E438" s="54"/>
    </row>
    <row r="439" spans="5:5" ht="13.2">
      <c r="E439" s="54"/>
    </row>
    <row r="440" spans="5:5" ht="13.2">
      <c r="E440" s="54"/>
    </row>
    <row r="441" spans="5:5" ht="13.2">
      <c r="E441" s="54"/>
    </row>
    <row r="442" spans="5:5" ht="13.2">
      <c r="E442" s="54"/>
    </row>
    <row r="443" spans="5:5" ht="13.2">
      <c r="E443" s="54"/>
    </row>
    <row r="444" spans="5:5" ht="13.2">
      <c r="E444" s="54"/>
    </row>
    <row r="445" spans="5:5" ht="13.2">
      <c r="E445" s="54"/>
    </row>
    <row r="446" spans="5:5" ht="13.2">
      <c r="E446" s="54"/>
    </row>
    <row r="447" spans="5:5" ht="13.2">
      <c r="E447" s="54"/>
    </row>
    <row r="448" spans="5:5" ht="13.2">
      <c r="E448" s="54"/>
    </row>
    <row r="449" spans="5:5" ht="13.2">
      <c r="E449" s="54"/>
    </row>
    <row r="450" spans="5:5" ht="13.2">
      <c r="E450" s="54"/>
    </row>
    <row r="451" spans="5:5" ht="13.2">
      <c r="E451" s="54"/>
    </row>
    <row r="452" spans="5:5" ht="13.2">
      <c r="E452" s="54"/>
    </row>
    <row r="453" spans="5:5" ht="13.2">
      <c r="E453" s="54"/>
    </row>
    <row r="454" spans="5:5" ht="13.2">
      <c r="E454" s="54"/>
    </row>
    <row r="455" spans="5:5" ht="13.2">
      <c r="E455" s="54"/>
    </row>
    <row r="456" spans="5:5" ht="13.2">
      <c r="E456" s="54"/>
    </row>
    <row r="457" spans="5:5" ht="13.2">
      <c r="E457" s="54"/>
    </row>
    <row r="458" spans="5:5" ht="13.2">
      <c r="E458" s="54"/>
    </row>
    <row r="459" spans="5:5" ht="13.2">
      <c r="E459" s="54"/>
    </row>
    <row r="460" spans="5:5" ht="13.2">
      <c r="E460" s="54"/>
    </row>
    <row r="461" spans="5:5" ht="13.2">
      <c r="E461" s="54"/>
    </row>
    <row r="462" spans="5:5" ht="13.2">
      <c r="E462" s="54"/>
    </row>
    <row r="463" spans="5:5" ht="13.2">
      <c r="E463" s="54"/>
    </row>
    <row r="464" spans="5:5" ht="13.2">
      <c r="E464" s="54"/>
    </row>
    <row r="465" spans="5:5" ht="13.2">
      <c r="E465" s="54"/>
    </row>
    <row r="466" spans="5:5" ht="13.2">
      <c r="E466" s="54"/>
    </row>
    <row r="467" spans="5:5" ht="13.2">
      <c r="E467" s="54"/>
    </row>
    <row r="468" spans="5:5" ht="13.2">
      <c r="E468" s="54"/>
    </row>
    <row r="469" spans="5:5" ht="13.2">
      <c r="E469" s="54"/>
    </row>
    <row r="470" spans="5:5" ht="13.2">
      <c r="E470" s="54"/>
    </row>
    <row r="471" spans="5:5" ht="13.2">
      <c r="E471" s="54"/>
    </row>
    <row r="472" spans="5:5" ht="13.2">
      <c r="E472" s="54"/>
    </row>
    <row r="473" spans="5:5" ht="13.2">
      <c r="E473" s="54"/>
    </row>
    <row r="474" spans="5:5" ht="13.2">
      <c r="E474" s="54"/>
    </row>
    <row r="475" spans="5:5" ht="13.2">
      <c r="E475" s="54"/>
    </row>
    <row r="476" spans="5:5" ht="13.2">
      <c r="E476" s="54"/>
    </row>
    <row r="477" spans="5:5" ht="13.2">
      <c r="E477" s="54"/>
    </row>
    <row r="478" spans="5:5" ht="13.2">
      <c r="E478" s="54"/>
    </row>
    <row r="479" spans="5:5" ht="13.2">
      <c r="E479" s="54"/>
    </row>
    <row r="480" spans="5:5" ht="13.2">
      <c r="E480" s="54"/>
    </row>
    <row r="481" spans="5:5" ht="13.2">
      <c r="E481" s="54"/>
    </row>
    <row r="482" spans="5:5" ht="13.2">
      <c r="E482" s="54"/>
    </row>
    <row r="483" spans="5:5" ht="13.2">
      <c r="E483" s="54"/>
    </row>
    <row r="484" spans="5:5" ht="13.2">
      <c r="E484" s="54"/>
    </row>
    <row r="485" spans="5:5" ht="13.2">
      <c r="E485" s="54"/>
    </row>
    <row r="486" spans="5:5" ht="13.2">
      <c r="E486" s="54"/>
    </row>
    <row r="487" spans="5:5" ht="13.2">
      <c r="E487" s="54"/>
    </row>
    <row r="488" spans="5:5" ht="13.2">
      <c r="E488" s="54"/>
    </row>
    <row r="489" spans="5:5" ht="13.2">
      <c r="E489" s="54"/>
    </row>
    <row r="490" spans="5:5" ht="13.2">
      <c r="E490" s="54"/>
    </row>
    <row r="491" spans="5:5" ht="13.2">
      <c r="E491" s="54"/>
    </row>
    <row r="492" spans="5:5" ht="13.2">
      <c r="E492" s="54"/>
    </row>
    <row r="493" spans="5:5" ht="13.2">
      <c r="E493" s="54"/>
    </row>
    <row r="494" spans="5:5" ht="13.2">
      <c r="E494" s="54"/>
    </row>
    <row r="495" spans="5:5" ht="13.2">
      <c r="E495" s="54"/>
    </row>
    <row r="496" spans="5:5" ht="13.2">
      <c r="E496" s="54"/>
    </row>
    <row r="497" spans="5:5" ht="13.2">
      <c r="E497" s="54"/>
    </row>
    <row r="498" spans="5:5" ht="13.2">
      <c r="E498" s="54"/>
    </row>
    <row r="499" spans="5:5" ht="13.2">
      <c r="E499" s="54"/>
    </row>
    <row r="500" spans="5:5" ht="13.2">
      <c r="E500" s="54"/>
    </row>
    <row r="501" spans="5:5" ht="13.2">
      <c r="E501" s="54"/>
    </row>
    <row r="502" spans="5:5" ht="13.2">
      <c r="E502" s="54"/>
    </row>
    <row r="503" spans="5:5" ht="13.2">
      <c r="E503" s="54"/>
    </row>
    <row r="504" spans="5:5" ht="13.2">
      <c r="E504" s="54"/>
    </row>
    <row r="505" spans="5:5" ht="13.2">
      <c r="E505" s="54"/>
    </row>
    <row r="506" spans="5:5" ht="13.2">
      <c r="E506" s="54"/>
    </row>
    <row r="507" spans="5:5" ht="13.2">
      <c r="E507" s="54"/>
    </row>
    <row r="508" spans="5:5" ht="13.2">
      <c r="E508" s="54"/>
    </row>
    <row r="509" spans="5:5" ht="13.2">
      <c r="E509" s="54"/>
    </row>
    <row r="510" spans="5:5" ht="13.2">
      <c r="E510" s="54"/>
    </row>
    <row r="511" spans="5:5" ht="13.2">
      <c r="E511" s="54"/>
    </row>
    <row r="512" spans="5:5" ht="13.2">
      <c r="E512" s="54"/>
    </row>
    <row r="513" spans="5:5" ht="13.2">
      <c r="E513" s="54"/>
    </row>
    <row r="514" spans="5:5" ht="13.2">
      <c r="E514" s="54"/>
    </row>
    <row r="515" spans="5:5" ht="13.2">
      <c r="E515" s="54"/>
    </row>
    <row r="516" spans="5:5" ht="13.2">
      <c r="E516" s="54"/>
    </row>
    <row r="517" spans="5:5" ht="13.2">
      <c r="E517" s="54"/>
    </row>
    <row r="518" spans="5:5" ht="13.2">
      <c r="E518" s="54"/>
    </row>
    <row r="519" spans="5:5" ht="13.2">
      <c r="E519" s="54"/>
    </row>
    <row r="520" spans="5:5" ht="13.2">
      <c r="E520" s="54"/>
    </row>
    <row r="521" spans="5:5" ht="13.2">
      <c r="E521" s="54"/>
    </row>
    <row r="522" spans="5:5" ht="13.2">
      <c r="E522" s="54"/>
    </row>
    <row r="523" spans="5:5" ht="13.2">
      <c r="E523" s="54"/>
    </row>
    <row r="524" spans="5:5" ht="13.2">
      <c r="E524" s="54"/>
    </row>
    <row r="525" spans="5:5" ht="13.2">
      <c r="E525" s="54"/>
    </row>
    <row r="526" spans="5:5" ht="13.2">
      <c r="E526" s="54"/>
    </row>
    <row r="527" spans="5:5" ht="13.2">
      <c r="E527" s="54"/>
    </row>
    <row r="528" spans="5:5" ht="13.2">
      <c r="E528" s="54"/>
    </row>
    <row r="529" spans="5:5" ht="13.2">
      <c r="E529" s="54"/>
    </row>
    <row r="530" spans="5:5" ht="13.2">
      <c r="E530" s="54"/>
    </row>
    <row r="531" spans="5:5" ht="13.2">
      <c r="E531" s="54"/>
    </row>
    <row r="532" spans="5:5" ht="13.2">
      <c r="E532" s="54"/>
    </row>
    <row r="533" spans="5:5" ht="13.2">
      <c r="E533" s="54"/>
    </row>
    <row r="534" spans="5:5" ht="13.2">
      <c r="E534" s="54"/>
    </row>
    <row r="535" spans="5:5" ht="13.2">
      <c r="E535" s="54"/>
    </row>
    <row r="536" spans="5:5" ht="13.2">
      <c r="E536" s="54"/>
    </row>
    <row r="537" spans="5:5" ht="13.2">
      <c r="E537" s="54"/>
    </row>
    <row r="538" spans="5:5" ht="13.2">
      <c r="E538" s="54"/>
    </row>
    <row r="539" spans="5:5" ht="13.2">
      <c r="E539" s="54"/>
    </row>
    <row r="540" spans="5:5" ht="13.2">
      <c r="E540" s="54"/>
    </row>
    <row r="541" spans="5:5" ht="13.2">
      <c r="E541" s="54"/>
    </row>
    <row r="542" spans="5:5" ht="13.2">
      <c r="E542" s="54"/>
    </row>
    <row r="543" spans="5:5" ht="13.2">
      <c r="E543" s="54"/>
    </row>
    <row r="544" spans="5:5" ht="13.2">
      <c r="E544" s="54"/>
    </row>
    <row r="545" spans="5:5" ht="13.2">
      <c r="E545" s="54"/>
    </row>
    <row r="546" spans="5:5" ht="13.2">
      <c r="E546" s="54"/>
    </row>
    <row r="547" spans="5:5" ht="13.2">
      <c r="E547" s="54"/>
    </row>
    <row r="548" spans="5:5" ht="13.2">
      <c r="E548" s="54"/>
    </row>
    <row r="549" spans="5:5" ht="13.2">
      <c r="E549" s="54"/>
    </row>
    <row r="550" spans="5:5" ht="13.2">
      <c r="E550" s="54"/>
    </row>
    <row r="551" spans="5:5" ht="13.2">
      <c r="E551" s="54"/>
    </row>
    <row r="552" spans="5:5" ht="13.2">
      <c r="E552" s="54"/>
    </row>
    <row r="553" spans="5:5" ht="13.2">
      <c r="E553" s="54"/>
    </row>
    <row r="554" spans="5:5" ht="13.2">
      <c r="E554" s="54"/>
    </row>
    <row r="555" spans="5:5" ht="13.2">
      <c r="E555" s="54"/>
    </row>
    <row r="556" spans="5:5" ht="13.2">
      <c r="E556" s="54"/>
    </row>
    <row r="557" spans="5:5" ht="13.2">
      <c r="E557" s="54"/>
    </row>
    <row r="558" spans="5:5" ht="13.2">
      <c r="E558" s="54"/>
    </row>
    <row r="559" spans="5:5" ht="13.2">
      <c r="E559" s="54"/>
    </row>
    <row r="560" spans="5:5" ht="13.2">
      <c r="E560" s="54"/>
    </row>
    <row r="561" spans="5:5" ht="13.2">
      <c r="E561" s="54"/>
    </row>
    <row r="562" spans="5:5" ht="13.2">
      <c r="E562" s="54"/>
    </row>
    <row r="563" spans="5:5" ht="13.2">
      <c r="E563" s="54"/>
    </row>
    <row r="564" spans="5:5" ht="13.2">
      <c r="E564" s="54"/>
    </row>
    <row r="565" spans="5:5" ht="13.2">
      <c r="E565" s="54"/>
    </row>
    <row r="566" spans="5:5" ht="13.2">
      <c r="E566" s="54"/>
    </row>
    <row r="567" spans="5:5" ht="13.2">
      <c r="E567" s="54"/>
    </row>
    <row r="568" spans="5:5" ht="13.2">
      <c r="E568" s="54"/>
    </row>
    <row r="569" spans="5:5" ht="13.2">
      <c r="E569" s="54"/>
    </row>
    <row r="570" spans="5:5" ht="13.2">
      <c r="E570" s="54"/>
    </row>
    <row r="571" spans="5:5" ht="13.2">
      <c r="E571" s="54"/>
    </row>
    <row r="572" spans="5:5" ht="13.2">
      <c r="E572" s="54"/>
    </row>
    <row r="573" spans="5:5" ht="13.2">
      <c r="E573" s="54"/>
    </row>
    <row r="574" spans="5:5" ht="13.2">
      <c r="E574" s="54"/>
    </row>
    <row r="575" spans="5:5" ht="13.2">
      <c r="E575" s="54"/>
    </row>
    <row r="576" spans="5:5" ht="13.2">
      <c r="E576" s="54"/>
    </row>
    <row r="577" spans="5:5" ht="13.2">
      <c r="E577" s="54"/>
    </row>
    <row r="578" spans="5:5" ht="13.2">
      <c r="E578" s="54"/>
    </row>
    <row r="579" spans="5:5" ht="13.2">
      <c r="E579" s="54"/>
    </row>
    <row r="580" spans="5:5" ht="13.2">
      <c r="E580" s="54"/>
    </row>
    <row r="581" spans="5:5" ht="13.2">
      <c r="E581" s="54"/>
    </row>
    <row r="582" spans="5:5" ht="13.2">
      <c r="E582" s="54"/>
    </row>
    <row r="583" spans="5:5" ht="13.2">
      <c r="E583" s="54"/>
    </row>
    <row r="584" spans="5:5" ht="13.2">
      <c r="E584" s="54"/>
    </row>
    <row r="585" spans="5:5" ht="13.2">
      <c r="E585" s="54"/>
    </row>
    <row r="586" spans="5:5" ht="13.2">
      <c r="E586" s="54"/>
    </row>
    <row r="587" spans="5:5" ht="13.2">
      <c r="E587" s="54"/>
    </row>
    <row r="588" spans="5:5" ht="13.2">
      <c r="E588" s="54"/>
    </row>
    <row r="589" spans="5:5" ht="13.2">
      <c r="E589" s="54"/>
    </row>
    <row r="590" spans="5:5" ht="13.2">
      <c r="E590" s="54"/>
    </row>
    <row r="591" spans="5:5" ht="13.2">
      <c r="E591" s="54"/>
    </row>
    <row r="592" spans="5:5" ht="13.2">
      <c r="E592" s="54"/>
    </row>
    <row r="593" spans="5:5" ht="13.2">
      <c r="E593" s="54"/>
    </row>
    <row r="594" spans="5:5" ht="13.2">
      <c r="E594" s="54"/>
    </row>
    <row r="595" spans="5:5" ht="13.2">
      <c r="E595" s="54"/>
    </row>
    <row r="596" spans="5:5" ht="13.2">
      <c r="E596" s="54"/>
    </row>
    <row r="597" spans="5:5" ht="13.2">
      <c r="E597" s="54"/>
    </row>
    <row r="598" spans="5:5" ht="13.2">
      <c r="E598" s="54"/>
    </row>
    <row r="599" spans="5:5" ht="13.2">
      <c r="E599" s="54"/>
    </row>
    <row r="600" spans="5:5" ht="13.2">
      <c r="E600" s="54"/>
    </row>
    <row r="601" spans="5:5" ht="13.2">
      <c r="E601" s="54"/>
    </row>
    <row r="602" spans="5:5" ht="13.2">
      <c r="E602" s="54"/>
    </row>
    <row r="603" spans="5:5" ht="13.2">
      <c r="E603" s="54"/>
    </row>
    <row r="604" spans="5:5" ht="13.2">
      <c r="E604" s="54"/>
    </row>
    <row r="605" spans="5:5" ht="13.2">
      <c r="E605" s="54"/>
    </row>
    <row r="606" spans="5:5" ht="13.2">
      <c r="E606" s="54"/>
    </row>
    <row r="607" spans="5:5" ht="13.2">
      <c r="E607" s="54"/>
    </row>
    <row r="608" spans="5:5" ht="13.2">
      <c r="E608" s="54"/>
    </row>
    <row r="609" spans="5:5" ht="13.2">
      <c r="E609" s="54"/>
    </row>
    <row r="610" spans="5:5" ht="13.2">
      <c r="E610" s="54"/>
    </row>
    <row r="611" spans="5:5" ht="13.2">
      <c r="E611" s="54"/>
    </row>
    <row r="612" spans="5:5" ht="13.2">
      <c r="E612" s="54"/>
    </row>
    <row r="613" spans="5:5" ht="13.2">
      <c r="E613" s="54"/>
    </row>
    <row r="614" spans="5:5" ht="13.2">
      <c r="E614" s="54"/>
    </row>
    <row r="615" spans="5:5" ht="13.2">
      <c r="E615" s="54"/>
    </row>
    <row r="616" spans="5:5" ht="13.2">
      <c r="E616" s="54"/>
    </row>
    <row r="617" spans="5:5" ht="13.2">
      <c r="E617" s="54"/>
    </row>
    <row r="618" spans="5:5" ht="13.2">
      <c r="E618" s="54"/>
    </row>
    <row r="619" spans="5:5" ht="13.2">
      <c r="E619" s="54"/>
    </row>
    <row r="620" spans="5:5" ht="13.2">
      <c r="E620" s="54"/>
    </row>
    <row r="621" spans="5:5" ht="13.2">
      <c r="E621" s="54"/>
    </row>
    <row r="622" spans="5:5" ht="13.2">
      <c r="E622" s="54"/>
    </row>
    <row r="623" spans="5:5" ht="13.2">
      <c r="E623" s="54"/>
    </row>
    <row r="624" spans="5:5" ht="13.2">
      <c r="E624" s="54"/>
    </row>
    <row r="625" spans="5:5" ht="13.2">
      <c r="E625" s="54"/>
    </row>
    <row r="626" spans="5:5" ht="13.2">
      <c r="E626" s="54"/>
    </row>
    <row r="627" spans="5:5" ht="13.2">
      <c r="E627" s="54"/>
    </row>
    <row r="628" spans="5:5" ht="13.2">
      <c r="E628" s="54"/>
    </row>
    <row r="629" spans="5:5" ht="13.2">
      <c r="E629" s="54"/>
    </row>
    <row r="630" spans="5:5" ht="13.2">
      <c r="E630" s="54"/>
    </row>
    <row r="631" spans="5:5" ht="13.2">
      <c r="E631" s="54"/>
    </row>
    <row r="632" spans="5:5" ht="13.2">
      <c r="E632" s="54"/>
    </row>
    <row r="633" spans="5:5" ht="13.2">
      <c r="E633" s="54"/>
    </row>
    <row r="634" spans="5:5" ht="13.2">
      <c r="E634" s="54"/>
    </row>
    <row r="635" spans="5:5" ht="13.2">
      <c r="E635" s="54"/>
    </row>
    <row r="636" spans="5:5" ht="13.2">
      <c r="E636" s="54"/>
    </row>
    <row r="637" spans="5:5" ht="13.2">
      <c r="E637" s="54"/>
    </row>
    <row r="638" spans="5:5" ht="13.2">
      <c r="E638" s="54"/>
    </row>
    <row r="639" spans="5:5" ht="13.2">
      <c r="E639" s="54"/>
    </row>
    <row r="640" spans="5:5" ht="13.2">
      <c r="E640" s="54"/>
    </row>
    <row r="641" spans="5:5" ht="13.2">
      <c r="E641" s="54"/>
    </row>
    <row r="642" spans="5:5" ht="13.2">
      <c r="E642" s="54"/>
    </row>
    <row r="643" spans="5:5" ht="13.2">
      <c r="E643" s="54"/>
    </row>
    <row r="644" spans="5:5" ht="13.2">
      <c r="E644" s="54"/>
    </row>
    <row r="645" spans="5:5" ht="13.2">
      <c r="E645" s="54"/>
    </row>
    <row r="646" spans="5:5" ht="13.2">
      <c r="E646" s="54"/>
    </row>
    <row r="647" spans="5:5" ht="13.2">
      <c r="E647" s="54"/>
    </row>
    <row r="648" spans="5:5" ht="13.2">
      <c r="E648" s="54"/>
    </row>
    <row r="649" spans="5:5" ht="13.2">
      <c r="E649" s="54"/>
    </row>
    <row r="650" spans="5:5" ht="13.2">
      <c r="E650" s="54"/>
    </row>
    <row r="651" spans="5:5" ht="13.2">
      <c r="E651" s="54"/>
    </row>
    <row r="652" spans="5:5" ht="13.2">
      <c r="E652" s="54"/>
    </row>
    <row r="653" spans="5:5" ht="13.2">
      <c r="E653" s="54"/>
    </row>
    <row r="654" spans="5:5" ht="13.2">
      <c r="E654" s="54"/>
    </row>
    <row r="655" spans="5:5" ht="13.2">
      <c r="E655" s="54"/>
    </row>
    <row r="656" spans="5:5" ht="13.2">
      <c r="E656" s="54"/>
    </row>
    <row r="657" spans="5:5" ht="13.2">
      <c r="E657" s="54"/>
    </row>
    <row r="658" spans="5:5" ht="13.2">
      <c r="E658" s="54"/>
    </row>
    <row r="659" spans="5:5" ht="13.2">
      <c r="E659" s="54"/>
    </row>
    <row r="660" spans="5:5" ht="13.2">
      <c r="E660" s="54"/>
    </row>
    <row r="661" spans="5:5" ht="13.2">
      <c r="E661" s="54"/>
    </row>
    <row r="662" spans="5:5" ht="13.2">
      <c r="E662" s="54"/>
    </row>
    <row r="663" spans="5:5" ht="13.2">
      <c r="E663" s="54"/>
    </row>
    <row r="664" spans="5:5" ht="13.2">
      <c r="E664" s="54"/>
    </row>
    <row r="665" spans="5:5" ht="13.2">
      <c r="E665" s="54"/>
    </row>
    <row r="666" spans="5:5" ht="13.2">
      <c r="E666" s="54"/>
    </row>
    <row r="667" spans="5:5" ht="13.2">
      <c r="E667" s="54"/>
    </row>
    <row r="668" spans="5:5" ht="13.2">
      <c r="E668" s="54"/>
    </row>
    <row r="669" spans="5:5" ht="13.2">
      <c r="E669" s="54"/>
    </row>
    <row r="670" spans="5:5" ht="13.2">
      <c r="E670" s="54"/>
    </row>
    <row r="671" spans="5:5" ht="13.2">
      <c r="E671" s="54"/>
    </row>
    <row r="672" spans="5:5" ht="13.2">
      <c r="E672" s="54"/>
    </row>
    <row r="673" spans="5:5" ht="13.2">
      <c r="E673" s="54"/>
    </row>
    <row r="674" spans="5:5" ht="13.2">
      <c r="E674" s="54"/>
    </row>
    <row r="675" spans="5:5" ht="13.2">
      <c r="E675" s="54"/>
    </row>
    <row r="676" spans="5:5" ht="13.2">
      <c r="E676" s="54"/>
    </row>
    <row r="677" spans="5:5" ht="13.2">
      <c r="E677" s="54"/>
    </row>
    <row r="678" spans="5:5" ht="13.2">
      <c r="E678" s="54"/>
    </row>
    <row r="679" spans="5:5" ht="13.2">
      <c r="E679" s="54"/>
    </row>
    <row r="680" spans="5:5" ht="13.2">
      <c r="E680" s="54"/>
    </row>
    <row r="681" spans="5:5" ht="13.2">
      <c r="E681" s="54"/>
    </row>
    <row r="682" spans="5:5" ht="13.2">
      <c r="E682" s="54"/>
    </row>
    <row r="683" spans="5:5" ht="13.2">
      <c r="E683" s="54"/>
    </row>
    <row r="684" spans="5:5" ht="13.2">
      <c r="E684" s="54"/>
    </row>
    <row r="685" spans="5:5" ht="13.2">
      <c r="E685" s="54"/>
    </row>
    <row r="686" spans="5:5" ht="13.2">
      <c r="E686" s="54"/>
    </row>
    <row r="687" spans="5:5" ht="13.2">
      <c r="E687" s="54"/>
    </row>
    <row r="688" spans="5:5" ht="13.2">
      <c r="E688" s="54"/>
    </row>
    <row r="689" spans="5:5" ht="13.2">
      <c r="E689" s="54"/>
    </row>
    <row r="690" spans="5:5" ht="13.2">
      <c r="E690" s="54"/>
    </row>
    <row r="691" spans="5:5" ht="13.2">
      <c r="E691" s="54"/>
    </row>
    <row r="692" spans="5:5" ht="13.2">
      <c r="E692" s="54"/>
    </row>
    <row r="693" spans="5:5" ht="13.2">
      <c r="E693" s="54"/>
    </row>
    <row r="694" spans="5:5" ht="13.2">
      <c r="E694" s="54"/>
    </row>
    <row r="695" spans="5:5" ht="13.2">
      <c r="E695" s="54"/>
    </row>
    <row r="696" spans="5:5" ht="13.2">
      <c r="E696" s="54"/>
    </row>
    <row r="697" spans="5:5" ht="13.2">
      <c r="E697" s="54"/>
    </row>
    <row r="698" spans="5:5" ht="13.2">
      <c r="E698" s="54"/>
    </row>
    <row r="699" spans="5:5" ht="13.2">
      <c r="E699" s="54"/>
    </row>
    <row r="700" spans="5:5" ht="13.2">
      <c r="E700" s="54"/>
    </row>
    <row r="701" spans="5:5" ht="13.2">
      <c r="E701" s="54"/>
    </row>
    <row r="702" spans="5:5" ht="13.2">
      <c r="E702" s="54"/>
    </row>
    <row r="703" spans="5:5" ht="13.2">
      <c r="E703" s="54"/>
    </row>
    <row r="704" spans="5:5" ht="13.2">
      <c r="E704" s="54"/>
    </row>
    <row r="705" spans="5:5" ht="13.2">
      <c r="E705" s="54"/>
    </row>
    <row r="706" spans="5:5" ht="13.2">
      <c r="E706" s="54"/>
    </row>
    <row r="707" spans="5:5" ht="13.2">
      <c r="E707" s="54"/>
    </row>
    <row r="708" spans="5:5" ht="13.2">
      <c r="E708" s="54"/>
    </row>
    <row r="709" spans="5:5" ht="13.2">
      <c r="E709" s="54"/>
    </row>
    <row r="710" spans="5:5" ht="13.2">
      <c r="E710" s="54"/>
    </row>
    <row r="711" spans="5:5" ht="13.2">
      <c r="E711" s="54"/>
    </row>
    <row r="712" spans="5:5" ht="13.2">
      <c r="E712" s="54"/>
    </row>
    <row r="713" spans="5:5" ht="13.2">
      <c r="E713" s="54"/>
    </row>
    <row r="714" spans="5:5" ht="13.2">
      <c r="E714" s="54"/>
    </row>
    <row r="715" spans="5:5" ht="13.2">
      <c r="E715" s="54"/>
    </row>
    <row r="716" spans="5:5" ht="13.2">
      <c r="E716" s="54"/>
    </row>
    <row r="717" spans="5:5" ht="13.2">
      <c r="E717" s="54"/>
    </row>
    <row r="718" spans="5:5" ht="13.2">
      <c r="E718" s="54"/>
    </row>
    <row r="719" spans="5:5" ht="13.2">
      <c r="E719" s="54"/>
    </row>
    <row r="720" spans="5:5" ht="13.2">
      <c r="E720" s="54"/>
    </row>
    <row r="721" spans="5:5" ht="13.2">
      <c r="E721" s="54"/>
    </row>
    <row r="722" spans="5:5" ht="13.2">
      <c r="E722" s="54"/>
    </row>
    <row r="723" spans="5:5" ht="13.2">
      <c r="E723" s="54"/>
    </row>
    <row r="724" spans="5:5" ht="13.2">
      <c r="E724" s="54"/>
    </row>
    <row r="725" spans="5:5" ht="13.2">
      <c r="E725" s="54"/>
    </row>
    <row r="726" spans="5:5" ht="13.2">
      <c r="E726" s="54"/>
    </row>
    <row r="727" spans="5:5" ht="13.2">
      <c r="E727" s="54"/>
    </row>
    <row r="728" spans="5:5" ht="13.2">
      <c r="E728" s="54"/>
    </row>
    <row r="729" spans="5:5" ht="13.2">
      <c r="E729" s="54"/>
    </row>
    <row r="730" spans="5:5" ht="13.2">
      <c r="E730" s="54"/>
    </row>
    <row r="731" spans="5:5" ht="13.2">
      <c r="E731" s="54"/>
    </row>
    <row r="732" spans="5:5" ht="13.2">
      <c r="E732" s="54"/>
    </row>
    <row r="733" spans="5:5" ht="13.2">
      <c r="E733" s="54"/>
    </row>
    <row r="734" spans="5:5" ht="13.2">
      <c r="E734" s="54"/>
    </row>
    <row r="735" spans="5:5" ht="13.2">
      <c r="E735" s="54"/>
    </row>
    <row r="736" spans="5:5" ht="13.2">
      <c r="E736" s="54"/>
    </row>
    <row r="737" spans="5:5" ht="13.2">
      <c r="E737" s="54"/>
    </row>
    <row r="738" spans="5:5" ht="13.2">
      <c r="E738" s="54"/>
    </row>
    <row r="739" spans="5:5" ht="13.2">
      <c r="E739" s="54"/>
    </row>
    <row r="740" spans="5:5" ht="13.2">
      <c r="E740" s="54"/>
    </row>
    <row r="741" spans="5:5" ht="13.2">
      <c r="E741" s="54"/>
    </row>
    <row r="742" spans="5:5" ht="13.2">
      <c r="E742" s="54"/>
    </row>
    <row r="743" spans="5:5" ht="13.2">
      <c r="E743" s="54"/>
    </row>
    <row r="744" spans="5:5" ht="13.2">
      <c r="E744" s="54"/>
    </row>
    <row r="745" spans="5:5" ht="13.2">
      <c r="E745" s="54"/>
    </row>
    <row r="746" spans="5:5" ht="13.2">
      <c r="E746" s="54"/>
    </row>
    <row r="747" spans="5:5" ht="13.2">
      <c r="E747" s="54"/>
    </row>
    <row r="748" spans="5:5" ht="13.2">
      <c r="E748" s="54"/>
    </row>
    <row r="749" spans="5:5" ht="13.2">
      <c r="E749" s="54"/>
    </row>
    <row r="750" spans="5:5" ht="13.2">
      <c r="E750" s="54"/>
    </row>
    <row r="751" spans="5:5" ht="13.2">
      <c r="E751" s="54"/>
    </row>
    <row r="752" spans="5:5" ht="13.2">
      <c r="E752" s="54"/>
    </row>
    <row r="753" spans="5:5" ht="13.2">
      <c r="E753" s="54"/>
    </row>
    <row r="754" spans="5:5" ht="13.2">
      <c r="E754" s="54"/>
    </row>
    <row r="755" spans="5:5" ht="13.2">
      <c r="E755" s="54"/>
    </row>
    <row r="756" spans="5:5" ht="13.2">
      <c r="E756" s="54"/>
    </row>
    <row r="757" spans="5:5" ht="13.2">
      <c r="E757" s="54"/>
    </row>
    <row r="758" spans="5:5" ht="13.2">
      <c r="E758" s="54"/>
    </row>
    <row r="759" spans="5:5" ht="13.2">
      <c r="E759" s="54"/>
    </row>
    <row r="760" spans="5:5" ht="13.2">
      <c r="E760" s="54"/>
    </row>
    <row r="761" spans="5:5" ht="13.2">
      <c r="E761" s="54"/>
    </row>
    <row r="762" spans="5:5" ht="13.2">
      <c r="E762" s="54"/>
    </row>
    <row r="763" spans="5:5" ht="13.2">
      <c r="E763" s="54"/>
    </row>
    <row r="764" spans="5:5" ht="13.2">
      <c r="E764" s="54"/>
    </row>
    <row r="765" spans="5:5" ht="13.2">
      <c r="E765" s="54"/>
    </row>
    <row r="766" spans="5:5" ht="13.2">
      <c r="E766" s="54"/>
    </row>
    <row r="767" spans="5:5" ht="13.2">
      <c r="E767" s="54"/>
    </row>
    <row r="768" spans="5:5" ht="13.2">
      <c r="E768" s="54"/>
    </row>
    <row r="769" spans="5:5" ht="13.2">
      <c r="E769" s="54"/>
    </row>
    <row r="770" spans="5:5" ht="13.2">
      <c r="E770" s="54"/>
    </row>
    <row r="771" spans="5:5" ht="13.2">
      <c r="E771" s="54"/>
    </row>
    <row r="772" spans="5:5" ht="13.2">
      <c r="E772" s="54"/>
    </row>
    <row r="773" spans="5:5" ht="13.2">
      <c r="E773" s="54"/>
    </row>
    <row r="774" spans="5:5" ht="13.2">
      <c r="E774" s="54"/>
    </row>
    <row r="775" spans="5:5" ht="13.2">
      <c r="E775" s="54"/>
    </row>
    <row r="776" spans="5:5" ht="13.2">
      <c r="E776" s="54"/>
    </row>
    <row r="777" spans="5:5" ht="13.2">
      <c r="E777" s="54"/>
    </row>
    <row r="778" spans="5:5" ht="13.2">
      <c r="E778" s="54"/>
    </row>
    <row r="779" spans="5:5" ht="13.2">
      <c r="E779" s="54"/>
    </row>
    <row r="780" spans="5:5" ht="13.2">
      <c r="E780" s="54"/>
    </row>
    <row r="781" spans="5:5" ht="13.2">
      <c r="E781" s="54"/>
    </row>
    <row r="782" spans="5:5" ht="13.2">
      <c r="E782" s="54"/>
    </row>
    <row r="783" spans="5:5" ht="13.2">
      <c r="E783" s="54"/>
    </row>
    <row r="784" spans="5:5" ht="13.2">
      <c r="E784" s="54"/>
    </row>
    <row r="785" spans="5:5" ht="13.2">
      <c r="E785" s="54"/>
    </row>
    <row r="786" spans="5:5" ht="13.2">
      <c r="E786" s="54"/>
    </row>
    <row r="787" spans="5:5" ht="13.2">
      <c r="E787" s="54"/>
    </row>
    <row r="788" spans="5:5" ht="13.2">
      <c r="E788" s="54"/>
    </row>
    <row r="789" spans="5:5" ht="13.2">
      <c r="E789" s="54"/>
    </row>
    <row r="790" spans="5:5" ht="13.2">
      <c r="E790" s="54"/>
    </row>
    <row r="791" spans="5:5" ht="13.2">
      <c r="E791" s="54"/>
    </row>
    <row r="792" spans="5:5" ht="13.2">
      <c r="E792" s="54"/>
    </row>
    <row r="793" spans="5:5" ht="13.2">
      <c r="E793" s="54"/>
    </row>
    <row r="794" spans="5:5" ht="13.2">
      <c r="E794" s="54"/>
    </row>
    <row r="795" spans="5:5" ht="13.2">
      <c r="E795" s="54"/>
    </row>
    <row r="796" spans="5:5" ht="13.2">
      <c r="E796" s="54"/>
    </row>
    <row r="797" spans="5:5" ht="13.2">
      <c r="E797" s="54"/>
    </row>
    <row r="798" spans="5:5" ht="13.2">
      <c r="E798" s="54"/>
    </row>
    <row r="799" spans="5:5" ht="13.2">
      <c r="E799" s="54"/>
    </row>
    <row r="800" spans="5:5" ht="13.2">
      <c r="E800" s="54"/>
    </row>
    <row r="801" spans="5:5" ht="13.2">
      <c r="E801" s="54"/>
    </row>
    <row r="802" spans="5:5" ht="13.2">
      <c r="E802" s="54"/>
    </row>
    <row r="803" spans="5:5" ht="13.2">
      <c r="E803" s="54"/>
    </row>
    <row r="804" spans="5:5" ht="13.2">
      <c r="E804" s="54"/>
    </row>
    <row r="805" spans="5:5" ht="13.2">
      <c r="E805" s="54"/>
    </row>
    <row r="806" spans="5:5" ht="13.2">
      <c r="E806" s="54"/>
    </row>
    <row r="807" spans="5:5" ht="13.2">
      <c r="E807" s="54"/>
    </row>
    <row r="808" spans="5:5" ht="13.2">
      <c r="E808" s="54"/>
    </row>
    <row r="809" spans="5:5" ht="13.2">
      <c r="E809" s="54"/>
    </row>
    <row r="810" spans="5:5" ht="13.2">
      <c r="E810" s="54"/>
    </row>
    <row r="811" spans="5:5" ht="13.2">
      <c r="E811" s="54"/>
    </row>
    <row r="812" spans="5:5" ht="13.2">
      <c r="E812" s="54"/>
    </row>
    <row r="813" spans="5:5" ht="13.2">
      <c r="E813" s="54"/>
    </row>
    <row r="814" spans="5:5" ht="13.2">
      <c r="E814" s="54"/>
    </row>
    <row r="815" spans="5:5" ht="13.2">
      <c r="E815" s="54"/>
    </row>
    <row r="816" spans="5:5" ht="13.2">
      <c r="E816" s="54"/>
    </row>
    <row r="817" spans="5:5" ht="13.2">
      <c r="E817" s="54"/>
    </row>
    <row r="818" spans="5:5" ht="13.2">
      <c r="E818" s="54"/>
    </row>
    <row r="819" spans="5:5" ht="13.2">
      <c r="E819" s="54"/>
    </row>
    <row r="820" spans="5:5" ht="13.2">
      <c r="E820" s="54"/>
    </row>
    <row r="821" spans="5:5" ht="13.2">
      <c r="E821" s="54"/>
    </row>
    <row r="822" spans="5:5" ht="13.2">
      <c r="E822" s="54"/>
    </row>
    <row r="823" spans="5:5" ht="13.2">
      <c r="E823" s="54"/>
    </row>
    <row r="824" spans="5:5" ht="13.2">
      <c r="E824" s="54"/>
    </row>
    <row r="825" spans="5:5" ht="13.2">
      <c r="E825" s="54"/>
    </row>
    <row r="826" spans="5:5" ht="13.2">
      <c r="E826" s="54"/>
    </row>
    <row r="827" spans="5:5" ht="13.2">
      <c r="E827" s="54"/>
    </row>
    <row r="828" spans="5:5" ht="13.2">
      <c r="E828" s="54"/>
    </row>
    <row r="829" spans="5:5" ht="13.2">
      <c r="E829" s="54"/>
    </row>
    <row r="830" spans="5:5" ht="13.2">
      <c r="E830" s="54"/>
    </row>
    <row r="831" spans="5:5" ht="13.2">
      <c r="E831" s="54"/>
    </row>
    <row r="832" spans="5:5" ht="13.2">
      <c r="E832" s="54"/>
    </row>
    <row r="833" spans="5:5" ht="13.2">
      <c r="E833" s="54"/>
    </row>
    <row r="834" spans="5:5" ht="13.2">
      <c r="E834" s="54"/>
    </row>
    <row r="835" spans="5:5" ht="13.2">
      <c r="E835" s="54"/>
    </row>
    <row r="836" spans="5:5" ht="13.2">
      <c r="E836" s="54"/>
    </row>
    <row r="837" spans="5:5" ht="13.2">
      <c r="E837" s="54"/>
    </row>
    <row r="838" spans="5:5" ht="13.2">
      <c r="E838" s="54"/>
    </row>
    <row r="839" spans="5:5" ht="13.2">
      <c r="E839" s="54"/>
    </row>
    <row r="840" spans="5:5" ht="13.2">
      <c r="E840" s="54"/>
    </row>
    <row r="841" spans="5:5" ht="13.2">
      <c r="E841" s="54"/>
    </row>
    <row r="842" spans="5:5" ht="13.2">
      <c r="E842" s="54"/>
    </row>
    <row r="843" spans="5:5" ht="13.2">
      <c r="E843" s="54"/>
    </row>
    <row r="844" spans="5:5" ht="13.2">
      <c r="E844" s="54"/>
    </row>
    <row r="845" spans="5:5" ht="13.2">
      <c r="E845" s="54"/>
    </row>
    <row r="846" spans="5:5" ht="13.2">
      <c r="E846" s="54"/>
    </row>
    <row r="847" spans="5:5" ht="13.2">
      <c r="E847" s="54"/>
    </row>
    <row r="848" spans="5:5" ht="13.2">
      <c r="E848" s="54"/>
    </row>
    <row r="849" spans="5:5" ht="13.2">
      <c r="E849" s="54"/>
    </row>
    <row r="850" spans="5:5" ht="13.2">
      <c r="E850" s="54"/>
    </row>
    <row r="851" spans="5:5" ht="13.2">
      <c r="E851" s="54"/>
    </row>
    <row r="852" spans="5:5" ht="13.2">
      <c r="E852" s="54"/>
    </row>
    <row r="853" spans="5:5" ht="13.2">
      <c r="E853" s="54"/>
    </row>
    <row r="854" spans="5:5" ht="13.2">
      <c r="E854" s="54"/>
    </row>
    <row r="855" spans="5:5" ht="13.2">
      <c r="E855" s="54"/>
    </row>
    <row r="856" spans="5:5" ht="13.2">
      <c r="E856" s="54"/>
    </row>
    <row r="857" spans="5:5" ht="13.2">
      <c r="E857" s="54"/>
    </row>
    <row r="858" spans="5:5" ht="13.2">
      <c r="E858" s="54"/>
    </row>
    <row r="859" spans="5:5" ht="13.2">
      <c r="E859" s="54"/>
    </row>
    <row r="860" spans="5:5" ht="13.2">
      <c r="E860" s="54"/>
    </row>
    <row r="861" spans="5:5" ht="13.2">
      <c r="E861" s="54"/>
    </row>
    <row r="862" spans="5:5" ht="13.2">
      <c r="E862" s="54"/>
    </row>
    <row r="863" spans="5:5" ht="13.2">
      <c r="E863" s="54"/>
    </row>
    <row r="864" spans="5:5" ht="13.2">
      <c r="E864" s="54"/>
    </row>
    <row r="865" spans="5:5" ht="13.2">
      <c r="E865" s="54"/>
    </row>
    <row r="866" spans="5:5" ht="13.2">
      <c r="E866" s="54"/>
    </row>
    <row r="867" spans="5:5" ht="13.2">
      <c r="E867" s="54"/>
    </row>
    <row r="868" spans="5:5" ht="13.2">
      <c r="E868" s="54"/>
    </row>
    <row r="869" spans="5:5" ht="13.2">
      <c r="E869" s="54"/>
    </row>
    <row r="870" spans="5:5" ht="13.2">
      <c r="E870" s="54"/>
    </row>
    <row r="871" spans="5:5" ht="13.2">
      <c r="E871" s="54"/>
    </row>
    <row r="872" spans="5:5" ht="13.2">
      <c r="E872" s="54"/>
    </row>
    <row r="873" spans="5:5" ht="13.2">
      <c r="E873" s="54"/>
    </row>
    <row r="874" spans="5:5" ht="13.2">
      <c r="E874" s="54"/>
    </row>
    <row r="875" spans="5:5" ht="13.2">
      <c r="E875" s="54"/>
    </row>
    <row r="876" spans="5:5" ht="13.2">
      <c r="E876" s="54"/>
    </row>
    <row r="877" spans="5:5" ht="13.2">
      <c r="E877" s="54"/>
    </row>
    <row r="878" spans="5:5" ht="13.2">
      <c r="E878" s="54"/>
    </row>
    <row r="879" spans="5:5" ht="13.2">
      <c r="E879" s="54"/>
    </row>
    <row r="880" spans="5:5" ht="13.2">
      <c r="E880" s="54"/>
    </row>
    <row r="881" spans="5:5" ht="13.2">
      <c r="E881" s="54"/>
    </row>
    <row r="882" spans="5:5" ht="13.2">
      <c r="E882" s="54"/>
    </row>
    <row r="883" spans="5:5" ht="13.2">
      <c r="E883" s="54"/>
    </row>
    <row r="884" spans="5:5" ht="13.2">
      <c r="E884" s="54"/>
    </row>
    <row r="885" spans="5:5" ht="13.2">
      <c r="E885" s="54"/>
    </row>
    <row r="886" spans="5:5" ht="13.2">
      <c r="E886" s="54"/>
    </row>
    <row r="887" spans="5:5" ht="13.2">
      <c r="E887" s="54"/>
    </row>
    <row r="888" spans="5:5" ht="13.2">
      <c r="E888" s="54"/>
    </row>
    <row r="889" spans="5:5" ht="13.2">
      <c r="E889" s="54"/>
    </row>
    <row r="890" spans="5:5" ht="13.2">
      <c r="E890" s="54"/>
    </row>
    <row r="891" spans="5:5" ht="13.2">
      <c r="E891" s="54"/>
    </row>
    <row r="892" spans="5:5" ht="13.2">
      <c r="E892" s="54"/>
    </row>
    <row r="893" spans="5:5" ht="13.2">
      <c r="E893" s="54"/>
    </row>
    <row r="894" spans="5:5" ht="13.2">
      <c r="E894" s="54"/>
    </row>
    <row r="895" spans="5:5" ht="13.2">
      <c r="E895" s="54"/>
    </row>
    <row r="896" spans="5:5" ht="13.2">
      <c r="E896" s="54"/>
    </row>
    <row r="897" spans="5:5" ht="13.2">
      <c r="E897" s="54"/>
    </row>
    <row r="898" spans="5:5" ht="13.2">
      <c r="E898" s="54"/>
    </row>
    <row r="899" spans="5:5" ht="13.2">
      <c r="E899" s="54"/>
    </row>
    <row r="900" spans="5:5" ht="13.2">
      <c r="E900" s="54"/>
    </row>
    <row r="901" spans="5:5" ht="13.2">
      <c r="E901" s="54"/>
    </row>
    <row r="902" spans="5:5" ht="13.2">
      <c r="E902" s="54"/>
    </row>
    <row r="903" spans="5:5" ht="13.2">
      <c r="E903" s="54"/>
    </row>
    <row r="904" spans="5:5" ht="13.2">
      <c r="E904" s="54"/>
    </row>
    <row r="905" spans="5:5" ht="13.2">
      <c r="E905" s="54"/>
    </row>
    <row r="906" spans="5:5" ht="13.2">
      <c r="E906" s="54"/>
    </row>
    <row r="907" spans="5:5" ht="13.2">
      <c r="E907" s="54"/>
    </row>
    <row r="908" spans="5:5" ht="13.2">
      <c r="E908" s="54"/>
    </row>
    <row r="909" spans="5:5" ht="13.2">
      <c r="E909" s="54"/>
    </row>
    <row r="910" spans="5:5" ht="13.2">
      <c r="E910" s="54"/>
    </row>
    <row r="911" spans="5:5" ht="13.2">
      <c r="E911" s="54"/>
    </row>
    <row r="912" spans="5:5" ht="13.2">
      <c r="E912" s="54"/>
    </row>
    <row r="913" spans="5:5" ht="13.2">
      <c r="E913" s="54"/>
    </row>
    <row r="914" spans="5:5" ht="13.2">
      <c r="E914" s="54"/>
    </row>
    <row r="915" spans="5:5" ht="13.2">
      <c r="E915" s="54"/>
    </row>
    <row r="916" spans="5:5" ht="13.2">
      <c r="E916" s="54"/>
    </row>
    <row r="917" spans="5:5" ht="13.2">
      <c r="E917" s="54"/>
    </row>
    <row r="918" spans="5:5" ht="13.2">
      <c r="E918" s="54"/>
    </row>
    <row r="919" spans="5:5" ht="13.2">
      <c r="E919" s="54"/>
    </row>
    <row r="920" spans="5:5" ht="13.2">
      <c r="E920" s="54"/>
    </row>
    <row r="921" spans="5:5" ht="13.2">
      <c r="E921" s="54"/>
    </row>
    <row r="922" spans="5:5" ht="13.2">
      <c r="E922" s="54"/>
    </row>
    <row r="923" spans="5:5" ht="13.2">
      <c r="E923" s="54"/>
    </row>
    <row r="924" spans="5:5" ht="13.2">
      <c r="E924" s="54"/>
    </row>
    <row r="925" spans="5:5" ht="13.2">
      <c r="E925" s="54"/>
    </row>
    <row r="926" spans="5:5" ht="13.2">
      <c r="E926" s="54"/>
    </row>
    <row r="927" spans="5:5" ht="13.2">
      <c r="E927" s="54"/>
    </row>
    <row r="928" spans="5:5" ht="13.2">
      <c r="E928" s="54"/>
    </row>
    <row r="929" spans="5:5" ht="13.2">
      <c r="E929" s="54"/>
    </row>
    <row r="930" spans="5:5" ht="13.2">
      <c r="E930" s="54"/>
    </row>
    <row r="931" spans="5:5" ht="13.2">
      <c r="E931" s="54"/>
    </row>
    <row r="932" spans="5:5" ht="13.2">
      <c r="E932" s="54"/>
    </row>
    <row r="933" spans="5:5" ht="13.2">
      <c r="E933" s="54"/>
    </row>
    <row r="934" spans="5:5" ht="13.2">
      <c r="E934" s="54"/>
    </row>
    <row r="935" spans="5:5" ht="13.2">
      <c r="E935" s="54"/>
    </row>
    <row r="936" spans="5:5" ht="13.2">
      <c r="E936" s="54"/>
    </row>
    <row r="937" spans="5:5" ht="13.2">
      <c r="E937" s="54"/>
    </row>
    <row r="938" spans="5:5" ht="13.2">
      <c r="E938" s="54"/>
    </row>
    <row r="939" spans="5:5" ht="13.2">
      <c r="E939" s="54"/>
    </row>
    <row r="940" spans="5:5" ht="13.2">
      <c r="E940" s="54"/>
    </row>
    <row r="941" spans="5:5" ht="13.2">
      <c r="E941" s="54"/>
    </row>
    <row r="942" spans="5:5" ht="13.2">
      <c r="E942" s="54"/>
    </row>
    <row r="943" spans="5:5" ht="13.2">
      <c r="E943" s="54"/>
    </row>
    <row r="944" spans="5:5" ht="13.2">
      <c r="E944" s="54"/>
    </row>
    <row r="945" spans="5:5" ht="13.2">
      <c r="E945" s="54"/>
    </row>
    <row r="946" spans="5:5" ht="13.2">
      <c r="E946" s="54"/>
    </row>
    <row r="947" spans="5:5" ht="13.2">
      <c r="E947" s="54"/>
    </row>
    <row r="948" spans="5:5" ht="13.2">
      <c r="E948" s="54"/>
    </row>
    <row r="949" spans="5:5" ht="13.2">
      <c r="E949" s="54"/>
    </row>
    <row r="950" spans="5:5" ht="13.2">
      <c r="E950" s="54"/>
    </row>
    <row r="951" spans="5:5" ht="13.2">
      <c r="E951" s="54"/>
    </row>
    <row r="952" spans="5:5" ht="13.2">
      <c r="E952" s="54"/>
    </row>
    <row r="953" spans="5:5" ht="13.2">
      <c r="E953" s="54"/>
    </row>
    <row r="954" spans="5:5" ht="13.2">
      <c r="E954" s="54"/>
    </row>
    <row r="955" spans="5:5" ht="13.2">
      <c r="E955" s="54"/>
    </row>
    <row r="956" spans="5:5" ht="13.2">
      <c r="E956" s="54"/>
    </row>
    <row r="957" spans="5:5" ht="13.2">
      <c r="E957" s="54"/>
    </row>
    <row r="958" spans="5:5" ht="13.2">
      <c r="E958" s="54"/>
    </row>
    <row r="959" spans="5:5" ht="13.2">
      <c r="E959" s="54"/>
    </row>
    <row r="960" spans="5:5" ht="13.2">
      <c r="E960" s="54"/>
    </row>
    <row r="961" spans="5:5" ht="13.2">
      <c r="E961" s="54"/>
    </row>
    <row r="962" spans="5:5" ht="13.2">
      <c r="E962" s="54"/>
    </row>
    <row r="963" spans="5:5" ht="13.2">
      <c r="E963" s="54"/>
    </row>
    <row r="964" spans="5:5" ht="13.2">
      <c r="E964" s="54"/>
    </row>
    <row r="965" spans="5:5" ht="13.2">
      <c r="E965" s="54"/>
    </row>
    <row r="966" spans="5:5" ht="13.2">
      <c r="E966" s="54"/>
    </row>
    <row r="967" spans="5:5" ht="13.2">
      <c r="E967" s="54"/>
    </row>
    <row r="968" spans="5:5" ht="13.2">
      <c r="E968" s="54"/>
    </row>
    <row r="969" spans="5:5" ht="13.2">
      <c r="E969" s="54"/>
    </row>
    <row r="970" spans="5:5" ht="13.2">
      <c r="E970" s="54"/>
    </row>
    <row r="971" spans="5:5" ht="13.2">
      <c r="E971" s="54"/>
    </row>
    <row r="972" spans="5:5" ht="13.2">
      <c r="E972" s="54"/>
    </row>
    <row r="973" spans="5:5" ht="13.2">
      <c r="E973" s="54"/>
    </row>
    <row r="974" spans="5:5" ht="13.2">
      <c r="E974" s="54"/>
    </row>
    <row r="975" spans="5:5" ht="13.2">
      <c r="E975" s="54"/>
    </row>
    <row r="976" spans="5:5" ht="13.2">
      <c r="E976" s="54"/>
    </row>
    <row r="977" spans="5:5" ht="13.2">
      <c r="E977" s="54"/>
    </row>
    <row r="978" spans="5:5" ht="13.2">
      <c r="E978" s="54"/>
    </row>
    <row r="979" spans="5:5" ht="13.2">
      <c r="E979" s="54"/>
    </row>
    <row r="980" spans="5:5" ht="13.2">
      <c r="E980" s="54"/>
    </row>
    <row r="981" spans="5:5" ht="13.2">
      <c r="E981" s="54"/>
    </row>
    <row r="982" spans="5:5" ht="13.2">
      <c r="E982" s="54"/>
    </row>
    <row r="983" spans="5:5" ht="13.2">
      <c r="E983" s="54"/>
    </row>
    <row r="984" spans="5:5" ht="13.2">
      <c r="E984" s="54"/>
    </row>
    <row r="985" spans="5:5" ht="13.2">
      <c r="E985" s="54"/>
    </row>
    <row r="986" spans="5:5" ht="13.2">
      <c r="E986" s="54"/>
    </row>
    <row r="987" spans="5:5" ht="13.2">
      <c r="E987" s="54"/>
    </row>
    <row r="988" spans="5:5" ht="13.2">
      <c r="E988" s="54"/>
    </row>
    <row r="989" spans="5:5" ht="13.2">
      <c r="E989" s="54"/>
    </row>
    <row r="990" spans="5:5" ht="13.2">
      <c r="E990" s="54"/>
    </row>
    <row r="991" spans="5:5" ht="13.2">
      <c r="E991" s="54"/>
    </row>
    <row r="992" spans="5:5" ht="13.2">
      <c r="E992" s="54"/>
    </row>
    <row r="993" spans="5:5" ht="13.2">
      <c r="E993" s="54"/>
    </row>
    <row r="994" spans="5:5" ht="13.2">
      <c r="E994" s="54"/>
    </row>
    <row r="995" spans="5:5" ht="13.2">
      <c r="E995" s="54"/>
    </row>
    <row r="996" spans="5:5" ht="13.2">
      <c r="E996" s="54"/>
    </row>
    <row r="997" spans="5:5" ht="13.2">
      <c r="E997" s="54"/>
    </row>
    <row r="998" spans="5:5" ht="13.2">
      <c r="E998" s="54"/>
    </row>
    <row r="999" spans="5:5" ht="13.2">
      <c r="E999" s="54"/>
    </row>
    <row r="1000" spans="5:5" ht="13.2">
      <c r="E1000" s="54"/>
    </row>
    <row r="1001" spans="5:5" ht="13.2">
      <c r="E1001" s="54"/>
    </row>
    <row r="1002" spans="5:5" ht="13.2">
      <c r="E1002" s="54"/>
    </row>
    <row r="1003" spans="5:5" ht="13.2">
      <c r="E1003" s="54"/>
    </row>
    <row r="1004" spans="5:5" ht="13.2">
      <c r="E1004" s="54"/>
    </row>
    <row r="1005" spans="5:5" ht="13.2">
      <c r="E1005" s="54"/>
    </row>
    <row r="1006" spans="5:5" ht="13.2">
      <c r="E1006" s="54"/>
    </row>
    <row r="1007" spans="5:5" ht="13.2">
      <c r="E1007" s="54"/>
    </row>
  </sheetData>
  <autoFilter ref="A2:R207" xr:uid="{00000000-0009-0000-0000-000001000000}"/>
  <mergeCells count="1">
    <mergeCell ref="A1:G1"/>
  </mergeCells>
  <hyperlinks>
    <hyperlink ref="E3" r:id="rId1" xr:uid="{00000000-0004-0000-0100-000000000000}"/>
    <hyperlink ref="E4" r:id="rId2" xr:uid="{00000000-0004-0000-0100-000001000000}"/>
    <hyperlink ref="E7" r:id="rId3" xr:uid="{00000000-0004-0000-0100-000002000000}"/>
    <hyperlink ref="E8" r:id="rId4" xr:uid="{00000000-0004-0000-0100-000003000000}"/>
    <hyperlink ref="E9" r:id="rId5" xr:uid="{00000000-0004-0000-0100-000004000000}"/>
    <hyperlink ref="E10" r:id="rId6" xr:uid="{00000000-0004-0000-0100-000005000000}"/>
    <hyperlink ref="E11" r:id="rId7" xr:uid="{00000000-0004-0000-0100-000006000000}"/>
    <hyperlink ref="E12" r:id="rId8" xr:uid="{00000000-0004-0000-0100-000007000000}"/>
    <hyperlink ref="E13" r:id="rId9" xr:uid="{00000000-0004-0000-0100-000008000000}"/>
    <hyperlink ref="E14" r:id="rId10" xr:uid="{00000000-0004-0000-0100-000009000000}"/>
    <hyperlink ref="E15" r:id="rId11" xr:uid="{00000000-0004-0000-0100-00000A000000}"/>
    <hyperlink ref="E16" r:id="rId12" xr:uid="{00000000-0004-0000-0100-00000B000000}"/>
    <hyperlink ref="E17" r:id="rId13" xr:uid="{00000000-0004-0000-0100-00000C000000}"/>
    <hyperlink ref="E18" r:id="rId14" xr:uid="{00000000-0004-0000-0100-00000D000000}"/>
    <hyperlink ref="E19" r:id="rId15" xr:uid="{00000000-0004-0000-0100-00000E000000}"/>
    <hyperlink ref="E20" r:id="rId16" xr:uid="{00000000-0004-0000-0100-00000F000000}"/>
    <hyperlink ref="E21" r:id="rId17" xr:uid="{00000000-0004-0000-0100-000010000000}"/>
    <hyperlink ref="E22" r:id="rId18" xr:uid="{00000000-0004-0000-0100-000011000000}"/>
    <hyperlink ref="E23" r:id="rId19" xr:uid="{00000000-0004-0000-0100-000012000000}"/>
    <hyperlink ref="E24" r:id="rId20" xr:uid="{00000000-0004-0000-0100-000013000000}"/>
    <hyperlink ref="E25" r:id="rId21" xr:uid="{00000000-0004-0000-0100-000014000000}"/>
    <hyperlink ref="E26" r:id="rId22" xr:uid="{00000000-0004-0000-0100-000015000000}"/>
    <hyperlink ref="E27" r:id="rId23" xr:uid="{00000000-0004-0000-0100-000016000000}"/>
    <hyperlink ref="E28" r:id="rId24" xr:uid="{00000000-0004-0000-0100-000017000000}"/>
    <hyperlink ref="E29" r:id="rId25" xr:uid="{00000000-0004-0000-0100-000018000000}"/>
    <hyperlink ref="E30" r:id="rId26" xr:uid="{00000000-0004-0000-0100-000019000000}"/>
    <hyperlink ref="E31" r:id="rId27" xr:uid="{00000000-0004-0000-0100-00001A000000}"/>
    <hyperlink ref="E32" r:id="rId28" xr:uid="{00000000-0004-0000-0100-00001B000000}"/>
    <hyperlink ref="E33" r:id="rId29" xr:uid="{00000000-0004-0000-0100-00001C000000}"/>
    <hyperlink ref="E34" r:id="rId30" xr:uid="{00000000-0004-0000-0100-00001D000000}"/>
    <hyperlink ref="E35" r:id="rId31" xr:uid="{00000000-0004-0000-0100-00001E000000}"/>
    <hyperlink ref="E36" r:id="rId32" xr:uid="{00000000-0004-0000-0100-00001F000000}"/>
    <hyperlink ref="E37" r:id="rId33" xr:uid="{00000000-0004-0000-0100-000020000000}"/>
    <hyperlink ref="E38" r:id="rId34" xr:uid="{00000000-0004-0000-0100-000021000000}"/>
    <hyperlink ref="E39" r:id="rId35" xr:uid="{00000000-0004-0000-0100-000022000000}"/>
    <hyperlink ref="E40" r:id="rId36" xr:uid="{00000000-0004-0000-0100-000023000000}"/>
    <hyperlink ref="E41" r:id="rId37" xr:uid="{00000000-0004-0000-0100-000024000000}"/>
    <hyperlink ref="E42" r:id="rId38" xr:uid="{00000000-0004-0000-0100-000025000000}"/>
    <hyperlink ref="E43" r:id="rId39" xr:uid="{00000000-0004-0000-0100-000026000000}"/>
    <hyperlink ref="E44" r:id="rId40" xr:uid="{00000000-0004-0000-0100-000027000000}"/>
    <hyperlink ref="E45" r:id="rId41" xr:uid="{00000000-0004-0000-0100-000028000000}"/>
    <hyperlink ref="E46" r:id="rId42" xr:uid="{00000000-0004-0000-0100-000029000000}"/>
    <hyperlink ref="E47" r:id="rId43" xr:uid="{00000000-0004-0000-0100-00002A000000}"/>
    <hyperlink ref="E48" r:id="rId44" xr:uid="{00000000-0004-0000-0100-00002B000000}"/>
    <hyperlink ref="E49" r:id="rId45" xr:uid="{00000000-0004-0000-0100-00002C000000}"/>
    <hyperlink ref="E50" r:id="rId46" xr:uid="{00000000-0004-0000-0100-00002D000000}"/>
    <hyperlink ref="E52" r:id="rId47" xr:uid="{00000000-0004-0000-0100-00002E000000}"/>
    <hyperlink ref="E53" r:id="rId48" xr:uid="{00000000-0004-0000-0100-00002F000000}"/>
    <hyperlink ref="E54" r:id="rId49" xr:uid="{00000000-0004-0000-0100-000030000000}"/>
    <hyperlink ref="E55" r:id="rId50" xr:uid="{00000000-0004-0000-0100-000031000000}"/>
    <hyperlink ref="E56" r:id="rId51" xr:uid="{00000000-0004-0000-0100-000032000000}"/>
    <hyperlink ref="E57" r:id="rId52" xr:uid="{00000000-0004-0000-0100-000033000000}"/>
    <hyperlink ref="E58" r:id="rId53" xr:uid="{00000000-0004-0000-0100-000034000000}"/>
    <hyperlink ref="E59" r:id="rId54" xr:uid="{00000000-0004-0000-0100-000035000000}"/>
    <hyperlink ref="E60" r:id="rId55" xr:uid="{00000000-0004-0000-0100-000036000000}"/>
    <hyperlink ref="E61" r:id="rId56" xr:uid="{00000000-0004-0000-0100-000037000000}"/>
    <hyperlink ref="E62" r:id="rId57" xr:uid="{00000000-0004-0000-0100-000038000000}"/>
    <hyperlink ref="E63" r:id="rId58" xr:uid="{00000000-0004-0000-0100-000039000000}"/>
    <hyperlink ref="E64" r:id="rId59" xr:uid="{00000000-0004-0000-0100-00003A000000}"/>
    <hyperlink ref="E65" r:id="rId60" xr:uid="{00000000-0004-0000-0100-00003B000000}"/>
    <hyperlink ref="E66" r:id="rId61" xr:uid="{00000000-0004-0000-0100-00003C000000}"/>
    <hyperlink ref="E67" r:id="rId62" xr:uid="{00000000-0004-0000-0100-00003D000000}"/>
    <hyperlink ref="E68" r:id="rId63" xr:uid="{00000000-0004-0000-0100-00003E000000}"/>
    <hyperlink ref="E69" r:id="rId64" xr:uid="{00000000-0004-0000-0100-00003F000000}"/>
    <hyperlink ref="E70" r:id="rId65" xr:uid="{00000000-0004-0000-0100-000040000000}"/>
    <hyperlink ref="E71" r:id="rId66" xr:uid="{00000000-0004-0000-0100-000041000000}"/>
    <hyperlink ref="D72" r:id="rId67" xr:uid="{00000000-0004-0000-0100-000042000000}"/>
    <hyperlink ref="E72" r:id="rId68" xr:uid="{00000000-0004-0000-0100-000043000000}"/>
    <hyperlink ref="E73" r:id="rId69" xr:uid="{00000000-0004-0000-0100-000044000000}"/>
    <hyperlink ref="E74" r:id="rId70" xr:uid="{00000000-0004-0000-0100-000045000000}"/>
    <hyperlink ref="E75" r:id="rId71" xr:uid="{00000000-0004-0000-0100-000046000000}"/>
    <hyperlink ref="E76" r:id="rId72" xr:uid="{00000000-0004-0000-0100-000047000000}"/>
    <hyperlink ref="E77" r:id="rId73" xr:uid="{00000000-0004-0000-0100-000048000000}"/>
    <hyperlink ref="E78" r:id="rId74" xr:uid="{00000000-0004-0000-0100-000049000000}"/>
    <hyperlink ref="E79" r:id="rId75" xr:uid="{00000000-0004-0000-0100-00004A000000}"/>
    <hyperlink ref="E80" r:id="rId76" xr:uid="{00000000-0004-0000-0100-00004B000000}"/>
    <hyperlink ref="E81" r:id="rId77" xr:uid="{00000000-0004-0000-0100-00004C000000}"/>
    <hyperlink ref="E82" r:id="rId78" xr:uid="{00000000-0004-0000-0100-00004D000000}"/>
    <hyperlink ref="E83" r:id="rId79" xr:uid="{00000000-0004-0000-0100-00004E000000}"/>
    <hyperlink ref="E84" r:id="rId80" xr:uid="{00000000-0004-0000-0100-00004F000000}"/>
    <hyperlink ref="E85" r:id="rId81" xr:uid="{00000000-0004-0000-0100-000050000000}"/>
    <hyperlink ref="E86" r:id="rId82" xr:uid="{00000000-0004-0000-0100-000051000000}"/>
    <hyperlink ref="E87" r:id="rId83" xr:uid="{00000000-0004-0000-0100-000052000000}"/>
    <hyperlink ref="E88" r:id="rId84" xr:uid="{00000000-0004-0000-0100-000053000000}"/>
    <hyperlink ref="E89" r:id="rId85" xr:uid="{00000000-0004-0000-0100-000054000000}"/>
    <hyperlink ref="E90" r:id="rId86" xr:uid="{00000000-0004-0000-0100-000055000000}"/>
    <hyperlink ref="E91" r:id="rId87" xr:uid="{00000000-0004-0000-0100-000056000000}"/>
    <hyperlink ref="E92" r:id="rId88" xr:uid="{00000000-0004-0000-0100-000057000000}"/>
    <hyperlink ref="E93" r:id="rId89" xr:uid="{00000000-0004-0000-0100-000058000000}"/>
    <hyperlink ref="E94" r:id="rId90" xr:uid="{00000000-0004-0000-0100-000059000000}"/>
    <hyperlink ref="E95" r:id="rId91" xr:uid="{00000000-0004-0000-0100-00005A000000}"/>
    <hyperlink ref="E96" r:id="rId92" xr:uid="{00000000-0004-0000-0100-00005B000000}"/>
    <hyperlink ref="E97" r:id="rId93" xr:uid="{00000000-0004-0000-0100-00005C000000}"/>
    <hyperlink ref="E98" r:id="rId94" xr:uid="{00000000-0004-0000-0100-00005D000000}"/>
    <hyperlink ref="E99" r:id="rId95" xr:uid="{00000000-0004-0000-0100-00005E000000}"/>
    <hyperlink ref="E100" r:id="rId96" xr:uid="{00000000-0004-0000-0100-00005F000000}"/>
    <hyperlink ref="E101" r:id="rId97" xr:uid="{00000000-0004-0000-0100-000060000000}"/>
    <hyperlink ref="E102" r:id="rId98" xr:uid="{00000000-0004-0000-0100-000061000000}"/>
    <hyperlink ref="E103" r:id="rId99" xr:uid="{00000000-0004-0000-0100-000062000000}"/>
    <hyperlink ref="E104" r:id="rId100" xr:uid="{00000000-0004-0000-0100-000063000000}"/>
    <hyperlink ref="E105" r:id="rId101" xr:uid="{00000000-0004-0000-0100-000064000000}"/>
    <hyperlink ref="E106" r:id="rId102" xr:uid="{00000000-0004-0000-0100-000065000000}"/>
    <hyperlink ref="E107" r:id="rId103" xr:uid="{00000000-0004-0000-0100-000066000000}"/>
    <hyperlink ref="E108" r:id="rId104" xr:uid="{00000000-0004-0000-0100-000067000000}"/>
    <hyperlink ref="E109" r:id="rId105" xr:uid="{00000000-0004-0000-0100-000068000000}"/>
    <hyperlink ref="E110" r:id="rId106" xr:uid="{00000000-0004-0000-0100-000069000000}"/>
    <hyperlink ref="E111" r:id="rId107" xr:uid="{00000000-0004-0000-0100-00006A000000}"/>
    <hyperlink ref="E112" r:id="rId108" xr:uid="{00000000-0004-0000-0100-00006B000000}"/>
    <hyperlink ref="E113" r:id="rId109" xr:uid="{00000000-0004-0000-0100-00006C000000}"/>
    <hyperlink ref="E114" r:id="rId110" xr:uid="{00000000-0004-0000-0100-00006D000000}"/>
    <hyperlink ref="E115" r:id="rId111" xr:uid="{00000000-0004-0000-0100-00006E000000}"/>
    <hyperlink ref="E116" r:id="rId112" xr:uid="{00000000-0004-0000-0100-00006F000000}"/>
    <hyperlink ref="E117" r:id="rId113" xr:uid="{00000000-0004-0000-0100-000070000000}"/>
    <hyperlink ref="E118" r:id="rId114" xr:uid="{00000000-0004-0000-0100-000071000000}"/>
    <hyperlink ref="E119" r:id="rId115" xr:uid="{00000000-0004-0000-0100-000072000000}"/>
    <hyperlink ref="E120" r:id="rId116" xr:uid="{00000000-0004-0000-0100-000073000000}"/>
    <hyperlink ref="E121" r:id="rId117" xr:uid="{00000000-0004-0000-0100-000074000000}"/>
    <hyperlink ref="E122" r:id="rId118" xr:uid="{00000000-0004-0000-0100-000075000000}"/>
    <hyperlink ref="E123" r:id="rId119" xr:uid="{00000000-0004-0000-0100-000076000000}"/>
    <hyperlink ref="E124" r:id="rId120" xr:uid="{00000000-0004-0000-0100-000077000000}"/>
    <hyperlink ref="E125" r:id="rId121" xr:uid="{00000000-0004-0000-0100-000078000000}"/>
    <hyperlink ref="E126" r:id="rId122" xr:uid="{00000000-0004-0000-0100-000079000000}"/>
    <hyperlink ref="E127" r:id="rId123" xr:uid="{00000000-0004-0000-0100-00007A000000}"/>
    <hyperlink ref="E128" r:id="rId124" xr:uid="{00000000-0004-0000-0100-00007B000000}"/>
    <hyperlink ref="E129" r:id="rId125" xr:uid="{00000000-0004-0000-0100-00007C000000}"/>
    <hyperlink ref="E130" r:id="rId126" xr:uid="{00000000-0004-0000-0100-00007D000000}"/>
    <hyperlink ref="E131" r:id="rId127" xr:uid="{00000000-0004-0000-0100-00007E000000}"/>
    <hyperlink ref="E132" r:id="rId128" xr:uid="{00000000-0004-0000-0100-00007F000000}"/>
    <hyperlink ref="E133" r:id="rId129" xr:uid="{00000000-0004-0000-0100-000080000000}"/>
    <hyperlink ref="E134" r:id="rId130" xr:uid="{00000000-0004-0000-0100-000081000000}"/>
    <hyperlink ref="E135" r:id="rId131" xr:uid="{00000000-0004-0000-0100-000082000000}"/>
    <hyperlink ref="E136" r:id="rId132" xr:uid="{00000000-0004-0000-0100-000083000000}"/>
    <hyperlink ref="E137" r:id="rId133" xr:uid="{00000000-0004-0000-0100-000084000000}"/>
    <hyperlink ref="E138" r:id="rId134" xr:uid="{00000000-0004-0000-0100-000085000000}"/>
    <hyperlink ref="E139" r:id="rId135" xr:uid="{00000000-0004-0000-0100-000086000000}"/>
    <hyperlink ref="E140" r:id="rId136" xr:uid="{00000000-0004-0000-0100-000087000000}"/>
    <hyperlink ref="E141" r:id="rId137" xr:uid="{00000000-0004-0000-0100-000088000000}"/>
    <hyperlink ref="E142" r:id="rId138" xr:uid="{00000000-0004-0000-0100-000089000000}"/>
    <hyperlink ref="E143" r:id="rId139" location="page=100" xr:uid="{00000000-0004-0000-0100-00008A000000}"/>
    <hyperlink ref="E144" r:id="rId140" xr:uid="{00000000-0004-0000-0100-00008B000000}"/>
    <hyperlink ref="E145" r:id="rId141" xr:uid="{00000000-0004-0000-0100-00008C000000}"/>
    <hyperlink ref="E146" r:id="rId142" xr:uid="{00000000-0004-0000-0100-00008D000000}"/>
    <hyperlink ref="E147" r:id="rId143" xr:uid="{00000000-0004-0000-0100-00008E000000}"/>
    <hyperlink ref="E148" r:id="rId144" xr:uid="{00000000-0004-0000-0100-00008F000000}"/>
    <hyperlink ref="E149" r:id="rId145" xr:uid="{00000000-0004-0000-0100-000090000000}"/>
    <hyperlink ref="E150" r:id="rId146" xr:uid="{00000000-0004-0000-0100-000091000000}"/>
    <hyperlink ref="E151" r:id="rId147" xr:uid="{00000000-0004-0000-0100-000092000000}"/>
    <hyperlink ref="E152" r:id="rId148" xr:uid="{00000000-0004-0000-0100-000093000000}"/>
    <hyperlink ref="E153" r:id="rId149" xr:uid="{00000000-0004-0000-0100-000094000000}"/>
    <hyperlink ref="E154" r:id="rId150" xr:uid="{00000000-0004-0000-0100-000095000000}"/>
    <hyperlink ref="E155" r:id="rId151" xr:uid="{00000000-0004-0000-0100-000096000000}"/>
    <hyperlink ref="E156" r:id="rId152" xr:uid="{00000000-0004-0000-0100-000097000000}"/>
    <hyperlink ref="E157" r:id="rId153" xr:uid="{00000000-0004-0000-0100-000098000000}"/>
    <hyperlink ref="E158" r:id="rId154" xr:uid="{00000000-0004-0000-0100-000099000000}"/>
    <hyperlink ref="E160" r:id="rId155" xr:uid="{00000000-0004-0000-0100-00009A000000}"/>
    <hyperlink ref="E161" r:id="rId156" xr:uid="{00000000-0004-0000-0100-00009B000000}"/>
    <hyperlink ref="E162" r:id="rId157" xr:uid="{00000000-0004-0000-0100-00009C000000}"/>
    <hyperlink ref="E163" r:id="rId158" xr:uid="{00000000-0004-0000-0100-00009D000000}"/>
    <hyperlink ref="E164" r:id="rId159" xr:uid="{00000000-0004-0000-0100-00009E000000}"/>
    <hyperlink ref="E165" r:id="rId160" xr:uid="{00000000-0004-0000-0100-00009F000000}"/>
    <hyperlink ref="E166" r:id="rId161" xr:uid="{00000000-0004-0000-0100-0000A0000000}"/>
    <hyperlink ref="E167" r:id="rId162" xr:uid="{00000000-0004-0000-0100-0000A1000000}"/>
    <hyperlink ref="E168" r:id="rId163" xr:uid="{00000000-0004-0000-0100-0000A2000000}"/>
    <hyperlink ref="E169" r:id="rId164" xr:uid="{00000000-0004-0000-0100-0000A3000000}"/>
    <hyperlink ref="E170" r:id="rId165" xr:uid="{00000000-0004-0000-0100-0000A4000000}"/>
    <hyperlink ref="E171" r:id="rId166" xr:uid="{00000000-0004-0000-0100-0000A5000000}"/>
    <hyperlink ref="E172" r:id="rId167" xr:uid="{00000000-0004-0000-0100-0000A6000000}"/>
    <hyperlink ref="E173" r:id="rId168" xr:uid="{00000000-0004-0000-0100-0000A7000000}"/>
    <hyperlink ref="E174" r:id="rId169" xr:uid="{00000000-0004-0000-0100-0000A8000000}"/>
    <hyperlink ref="E175" r:id="rId170" xr:uid="{00000000-0004-0000-0100-0000A9000000}"/>
    <hyperlink ref="E176" r:id="rId171" xr:uid="{00000000-0004-0000-0100-0000AA000000}"/>
    <hyperlink ref="E177" r:id="rId172" xr:uid="{00000000-0004-0000-0100-0000AB000000}"/>
    <hyperlink ref="E178" r:id="rId173" xr:uid="{00000000-0004-0000-0100-0000AC000000}"/>
    <hyperlink ref="E179" r:id="rId174" xr:uid="{00000000-0004-0000-0100-0000AD000000}"/>
    <hyperlink ref="E180" r:id="rId175" xr:uid="{00000000-0004-0000-0100-0000AE000000}"/>
    <hyperlink ref="E181" r:id="rId176" xr:uid="{00000000-0004-0000-0100-0000AF000000}"/>
    <hyperlink ref="E182" r:id="rId177" xr:uid="{00000000-0004-0000-0100-0000B0000000}"/>
    <hyperlink ref="E183" r:id="rId178" xr:uid="{00000000-0004-0000-0100-0000B1000000}"/>
    <hyperlink ref="E184" r:id="rId179" xr:uid="{00000000-0004-0000-0100-0000B2000000}"/>
    <hyperlink ref="E185" r:id="rId180" xr:uid="{00000000-0004-0000-0100-0000B3000000}"/>
    <hyperlink ref="E186" r:id="rId181" xr:uid="{00000000-0004-0000-0100-0000B4000000}"/>
    <hyperlink ref="E187" r:id="rId182" xr:uid="{00000000-0004-0000-0100-0000B5000000}"/>
    <hyperlink ref="E188" r:id="rId183" xr:uid="{00000000-0004-0000-0100-0000B6000000}"/>
    <hyperlink ref="E189" r:id="rId184" xr:uid="{00000000-0004-0000-0100-0000B7000000}"/>
    <hyperlink ref="E190" r:id="rId185" xr:uid="{00000000-0004-0000-0100-0000B8000000}"/>
    <hyperlink ref="E191" r:id="rId186" xr:uid="{00000000-0004-0000-0100-0000B9000000}"/>
    <hyperlink ref="E192" r:id="rId187" xr:uid="{00000000-0004-0000-0100-0000BA000000}"/>
    <hyperlink ref="E193" r:id="rId188" xr:uid="{00000000-0004-0000-0100-0000BB000000}"/>
    <hyperlink ref="E194" r:id="rId189" xr:uid="{00000000-0004-0000-0100-0000BC000000}"/>
    <hyperlink ref="E195" r:id="rId190" xr:uid="{00000000-0004-0000-0100-0000BD000000}"/>
    <hyperlink ref="E196" r:id="rId191" xr:uid="{00000000-0004-0000-0100-0000BE000000}"/>
    <hyperlink ref="E197" r:id="rId192" xr:uid="{00000000-0004-0000-0100-0000BF000000}"/>
    <hyperlink ref="E198" r:id="rId193" xr:uid="{00000000-0004-0000-0100-0000C0000000}"/>
    <hyperlink ref="E199" r:id="rId194" xr:uid="{00000000-0004-0000-0100-0000C1000000}"/>
    <hyperlink ref="E200" r:id="rId195" xr:uid="{00000000-0004-0000-0100-0000C2000000}"/>
    <hyperlink ref="E201" r:id="rId196" xr:uid="{00000000-0004-0000-0100-0000C3000000}"/>
    <hyperlink ref="E202" r:id="rId197" xr:uid="{00000000-0004-0000-0100-0000C4000000}"/>
    <hyperlink ref="E203" r:id="rId198" xr:uid="{00000000-0004-0000-0100-0000C5000000}"/>
    <hyperlink ref="E204" r:id="rId199" xr:uid="{00000000-0004-0000-0100-0000C6000000}"/>
    <hyperlink ref="E205" r:id="rId200" xr:uid="{00000000-0004-0000-0100-0000C7000000}"/>
    <hyperlink ref="E206" r:id="rId201" xr:uid="{00000000-0004-0000-0100-0000C8000000}"/>
    <hyperlink ref="E207" r:id="rId202" xr:uid="{00000000-0004-0000-0100-0000C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802"/>
  <sheetViews>
    <sheetView workbookViewId="0">
      <pane ySplit="2" topLeftCell="A3" activePane="bottomLeft" state="frozen"/>
      <selection pane="bottomLeft" activeCell="B4" sqref="B4"/>
    </sheetView>
  </sheetViews>
  <sheetFormatPr defaultColWidth="12.6640625" defaultRowHeight="15.75" customHeight="1"/>
  <cols>
    <col min="5" max="5" width="12.44140625" customWidth="1"/>
    <col min="11" max="11" width="6.44140625" customWidth="1"/>
    <col min="12" max="12" width="6.77734375" customWidth="1"/>
    <col min="13" max="13" width="8.33203125" customWidth="1"/>
    <col min="14" max="14" width="6.6640625" customWidth="1"/>
    <col min="15" max="15" width="11.21875" customWidth="1"/>
  </cols>
  <sheetData>
    <row r="1" spans="1:25">
      <c r="A1" s="108" t="s">
        <v>130</v>
      </c>
      <c r="B1" s="106"/>
      <c r="C1" s="106"/>
      <c r="D1" s="106"/>
      <c r="E1" s="106"/>
      <c r="F1" s="106"/>
      <c r="G1" s="106"/>
    </row>
    <row r="2" spans="1:25">
      <c r="A2" s="2" t="s">
        <v>131</v>
      </c>
      <c r="B2" s="39" t="s">
        <v>132</v>
      </c>
      <c r="C2" s="39" t="s">
        <v>133</v>
      </c>
      <c r="D2" s="39" t="s">
        <v>134</v>
      </c>
      <c r="E2" s="40" t="s">
        <v>135</v>
      </c>
      <c r="F2" s="41" t="s">
        <v>136</v>
      </c>
      <c r="G2" s="41" t="s">
        <v>137</v>
      </c>
      <c r="H2" s="41" t="s">
        <v>138</v>
      </c>
      <c r="I2" s="41" t="s">
        <v>139</v>
      </c>
      <c r="J2" s="41" t="s">
        <v>751</v>
      </c>
      <c r="K2" s="43" t="s">
        <v>141</v>
      </c>
      <c r="L2" s="43" t="s">
        <v>142</v>
      </c>
      <c r="M2" s="43" t="s">
        <v>143</v>
      </c>
      <c r="N2" s="43" t="s">
        <v>144</v>
      </c>
      <c r="O2" s="70" t="s">
        <v>752</v>
      </c>
      <c r="P2" s="44" t="s">
        <v>145</v>
      </c>
      <c r="Q2" s="71" t="s">
        <v>146</v>
      </c>
      <c r="R2" s="45" t="s">
        <v>147</v>
      </c>
    </row>
    <row r="3" spans="1:25" ht="15.75" customHeight="1">
      <c r="A3" s="3">
        <v>9</v>
      </c>
      <c r="B3" s="72" t="s">
        <v>753</v>
      </c>
      <c r="C3" s="73">
        <v>2016</v>
      </c>
      <c r="D3" s="72" t="s">
        <v>754</v>
      </c>
      <c r="E3" s="74" t="s">
        <v>755</v>
      </c>
      <c r="F3" s="52"/>
      <c r="G3" s="52"/>
      <c r="H3" s="52"/>
      <c r="I3" s="52"/>
      <c r="J3" s="52"/>
      <c r="K3" s="50"/>
      <c r="L3" s="50"/>
      <c r="M3" s="50"/>
      <c r="N3" s="51" t="s">
        <v>7</v>
      </c>
      <c r="O3" s="50"/>
      <c r="P3" s="50"/>
      <c r="Q3" s="3"/>
      <c r="R3" s="3" t="s">
        <v>152</v>
      </c>
      <c r="Y3" s="75">
        <f t="shared" ref="Y3:Y257" si="0">COUNTIF(E:E, E3)</f>
        <v>1</v>
      </c>
    </row>
    <row r="4" spans="1:25" ht="15.75" customHeight="1">
      <c r="A4" s="3">
        <v>5</v>
      </c>
      <c r="B4" s="72" t="s">
        <v>756</v>
      </c>
      <c r="C4" s="73">
        <v>1998</v>
      </c>
      <c r="D4" s="72" t="s">
        <v>757</v>
      </c>
      <c r="E4" s="76" t="s">
        <v>758</v>
      </c>
      <c r="J4" s="3" t="s">
        <v>7</v>
      </c>
      <c r="Q4" s="3"/>
      <c r="R4" s="3" t="s">
        <v>152</v>
      </c>
      <c r="Y4" s="75">
        <f t="shared" si="0"/>
        <v>1</v>
      </c>
    </row>
    <row r="5" spans="1:25" ht="15.75" customHeight="1">
      <c r="A5" s="77">
        <v>41887</v>
      </c>
      <c r="B5" s="72" t="s">
        <v>759</v>
      </c>
      <c r="C5" s="73">
        <v>2004</v>
      </c>
      <c r="D5" s="72" t="s">
        <v>760</v>
      </c>
      <c r="E5" s="78" t="s">
        <v>761</v>
      </c>
      <c r="J5" s="3" t="s">
        <v>7</v>
      </c>
      <c r="Q5" s="3"/>
      <c r="R5" s="3" t="s">
        <v>152</v>
      </c>
      <c r="Y5" s="75">
        <f t="shared" si="0"/>
        <v>1</v>
      </c>
    </row>
    <row r="6" spans="1:25" ht="15.75" customHeight="1">
      <c r="A6" s="3">
        <v>3</v>
      </c>
      <c r="B6" s="72" t="s">
        <v>762</v>
      </c>
      <c r="C6" s="72">
        <v>2009</v>
      </c>
      <c r="D6" s="72" t="s">
        <v>763</v>
      </c>
      <c r="E6" s="79" t="s">
        <v>764</v>
      </c>
      <c r="J6" s="3" t="s">
        <v>7</v>
      </c>
      <c r="Q6" s="3"/>
      <c r="R6" s="3" t="s">
        <v>152</v>
      </c>
      <c r="Y6" s="75">
        <f t="shared" si="0"/>
        <v>1</v>
      </c>
    </row>
    <row r="7" spans="1:25" ht="15.75" customHeight="1">
      <c r="A7" s="3">
        <v>3</v>
      </c>
      <c r="B7" s="72" t="s">
        <v>765</v>
      </c>
      <c r="C7" s="80"/>
      <c r="D7" s="72" t="s">
        <v>766</v>
      </c>
      <c r="E7" s="78" t="s">
        <v>767</v>
      </c>
      <c r="F7" s="53" t="s">
        <v>7</v>
      </c>
      <c r="G7" s="52"/>
      <c r="H7" s="52"/>
      <c r="I7" s="52"/>
      <c r="J7" s="52"/>
      <c r="K7" s="50"/>
      <c r="L7" s="50"/>
      <c r="M7" s="50"/>
      <c r="N7" s="50"/>
      <c r="O7" s="50"/>
      <c r="P7" s="50"/>
      <c r="Q7" s="3"/>
      <c r="R7" s="3" t="s">
        <v>152</v>
      </c>
      <c r="Y7" s="75">
        <f t="shared" si="0"/>
        <v>1</v>
      </c>
    </row>
    <row r="8" spans="1:25" ht="15.75" customHeight="1">
      <c r="A8" s="3">
        <v>3</v>
      </c>
      <c r="B8" s="72" t="s">
        <v>768</v>
      </c>
      <c r="C8" s="80"/>
      <c r="D8" s="72" t="s">
        <v>769</v>
      </c>
      <c r="E8" s="78" t="s">
        <v>770</v>
      </c>
      <c r="F8" s="53" t="s">
        <v>7</v>
      </c>
      <c r="G8" s="52"/>
      <c r="H8" s="52"/>
      <c r="I8" s="52"/>
      <c r="J8" s="52"/>
      <c r="K8" s="50"/>
      <c r="L8" s="50"/>
      <c r="M8" s="50"/>
      <c r="N8" s="50"/>
      <c r="O8" s="50"/>
      <c r="P8" s="50"/>
      <c r="Q8" s="3"/>
      <c r="R8" s="3" t="s">
        <v>152</v>
      </c>
      <c r="Y8" s="75">
        <f t="shared" si="0"/>
        <v>1</v>
      </c>
    </row>
    <row r="9" spans="1:25" ht="15.75" customHeight="1">
      <c r="A9" s="3">
        <v>3</v>
      </c>
      <c r="B9" s="72" t="s">
        <v>771</v>
      </c>
      <c r="C9" s="72">
        <v>2010</v>
      </c>
      <c r="D9" s="72" t="s">
        <v>772</v>
      </c>
      <c r="E9" s="78" t="s">
        <v>773</v>
      </c>
      <c r="J9" s="3" t="s">
        <v>7</v>
      </c>
      <c r="Q9" s="3"/>
      <c r="R9" s="3" t="s">
        <v>152</v>
      </c>
      <c r="Y9" s="75">
        <f t="shared" si="0"/>
        <v>1</v>
      </c>
    </row>
    <row r="10" spans="1:25" ht="15.75" customHeight="1">
      <c r="A10" s="3">
        <v>3</v>
      </c>
      <c r="B10" s="72" t="s">
        <v>774</v>
      </c>
      <c r="C10" s="73">
        <v>2000</v>
      </c>
      <c r="D10" s="72" t="s">
        <v>775</v>
      </c>
      <c r="E10" s="74" t="s">
        <v>776</v>
      </c>
      <c r="J10" s="3" t="s">
        <v>7</v>
      </c>
      <c r="Q10" s="3"/>
      <c r="R10" s="3" t="s">
        <v>152</v>
      </c>
      <c r="Y10" s="75">
        <f t="shared" si="0"/>
        <v>1</v>
      </c>
    </row>
    <row r="11" spans="1:25" ht="15.75" customHeight="1">
      <c r="A11" s="3">
        <v>3</v>
      </c>
      <c r="B11" s="72" t="s">
        <v>777</v>
      </c>
      <c r="C11" s="73">
        <v>2010</v>
      </c>
      <c r="D11" s="72" t="s">
        <v>778</v>
      </c>
      <c r="E11" s="74" t="s">
        <v>779</v>
      </c>
      <c r="J11" s="3" t="s">
        <v>7</v>
      </c>
      <c r="Q11" s="3"/>
      <c r="R11" s="3" t="s">
        <v>152</v>
      </c>
      <c r="Y11" s="75">
        <f t="shared" si="0"/>
        <v>1</v>
      </c>
    </row>
    <row r="12" spans="1:25" ht="15.75" customHeight="1">
      <c r="A12" s="77">
        <v>14003</v>
      </c>
      <c r="B12" s="72" t="s">
        <v>780</v>
      </c>
      <c r="C12" s="73">
        <v>2003</v>
      </c>
      <c r="D12" s="72" t="s">
        <v>781</v>
      </c>
      <c r="E12" s="74" t="s">
        <v>782</v>
      </c>
      <c r="J12" s="3" t="s">
        <v>7</v>
      </c>
      <c r="Q12" s="3"/>
      <c r="R12" s="3" t="s">
        <v>152</v>
      </c>
      <c r="Y12" s="75">
        <f t="shared" si="0"/>
        <v>1</v>
      </c>
    </row>
    <row r="13" spans="1:25" ht="15.75" customHeight="1">
      <c r="A13" s="3">
        <v>3</v>
      </c>
      <c r="B13" s="72" t="s">
        <v>783</v>
      </c>
      <c r="C13" s="73">
        <v>2006</v>
      </c>
      <c r="D13" s="72" t="s">
        <v>784</v>
      </c>
      <c r="E13" s="81" t="s">
        <v>785</v>
      </c>
      <c r="J13" s="3" t="s">
        <v>7</v>
      </c>
      <c r="Q13" s="3"/>
      <c r="R13" s="3" t="s">
        <v>152</v>
      </c>
      <c r="Y13" s="75">
        <f t="shared" si="0"/>
        <v>1</v>
      </c>
    </row>
    <row r="14" spans="1:25" ht="15.75" customHeight="1">
      <c r="A14" s="3">
        <v>3</v>
      </c>
      <c r="B14" s="72" t="s">
        <v>786</v>
      </c>
      <c r="C14" s="73">
        <v>2006</v>
      </c>
      <c r="D14" s="72" t="s">
        <v>787</v>
      </c>
      <c r="E14" s="81" t="s">
        <v>788</v>
      </c>
      <c r="J14" s="3" t="s">
        <v>7</v>
      </c>
      <c r="Q14" s="3"/>
      <c r="R14" s="3" t="s">
        <v>152</v>
      </c>
      <c r="Y14" s="75">
        <f t="shared" si="0"/>
        <v>1</v>
      </c>
    </row>
    <row r="15" spans="1:25" ht="15.75" customHeight="1">
      <c r="A15" s="3">
        <v>3</v>
      </c>
      <c r="B15" s="72" t="s">
        <v>789</v>
      </c>
      <c r="C15" s="73">
        <v>2004</v>
      </c>
      <c r="D15" s="72" t="s">
        <v>790</v>
      </c>
      <c r="E15" s="82" t="s">
        <v>791</v>
      </c>
      <c r="J15" s="3" t="s">
        <v>7</v>
      </c>
      <c r="Q15" s="3"/>
      <c r="R15" s="3" t="s">
        <v>152</v>
      </c>
      <c r="Y15" s="75">
        <f t="shared" si="0"/>
        <v>1</v>
      </c>
    </row>
    <row r="16" spans="1:25" ht="15.75" customHeight="1">
      <c r="A16" s="3">
        <v>3</v>
      </c>
      <c r="B16" s="72" t="s">
        <v>792</v>
      </c>
      <c r="C16" s="73">
        <v>1981</v>
      </c>
      <c r="D16" s="72" t="s">
        <v>793</v>
      </c>
      <c r="E16" s="83" t="s">
        <v>794</v>
      </c>
      <c r="J16" s="3" t="s">
        <v>7</v>
      </c>
      <c r="Q16" s="3"/>
      <c r="R16" s="3" t="s">
        <v>152</v>
      </c>
      <c r="Y16" s="75">
        <f t="shared" si="0"/>
        <v>1</v>
      </c>
    </row>
    <row r="17" spans="1:25" ht="15.75" customHeight="1">
      <c r="A17" s="3">
        <v>3</v>
      </c>
      <c r="B17" s="72" t="s">
        <v>795</v>
      </c>
      <c r="C17" s="73">
        <v>1988</v>
      </c>
      <c r="D17" s="72" t="s">
        <v>796</v>
      </c>
      <c r="E17" s="78" t="s">
        <v>797</v>
      </c>
      <c r="J17" s="3" t="s">
        <v>7</v>
      </c>
      <c r="Q17" s="3"/>
      <c r="R17" s="3" t="s">
        <v>152</v>
      </c>
      <c r="Y17" s="75">
        <f t="shared" si="0"/>
        <v>1</v>
      </c>
    </row>
    <row r="18" spans="1:25" ht="15.75" customHeight="1">
      <c r="A18" s="3">
        <v>3</v>
      </c>
      <c r="B18" s="72" t="s">
        <v>798</v>
      </c>
      <c r="C18" s="73">
        <v>1992</v>
      </c>
      <c r="D18" s="72" t="s">
        <v>799</v>
      </c>
      <c r="E18" s="78" t="s">
        <v>800</v>
      </c>
      <c r="J18" s="3" t="s">
        <v>7</v>
      </c>
      <c r="Q18" s="3"/>
      <c r="R18" s="3" t="s">
        <v>152</v>
      </c>
      <c r="Y18" s="75">
        <f t="shared" si="0"/>
        <v>1</v>
      </c>
    </row>
    <row r="19" spans="1:25" ht="15.75" customHeight="1">
      <c r="A19" s="3">
        <v>3</v>
      </c>
      <c r="B19" s="72" t="s">
        <v>801</v>
      </c>
      <c r="C19" s="73">
        <v>2003</v>
      </c>
      <c r="D19" s="72" t="s">
        <v>802</v>
      </c>
      <c r="E19" s="76" t="s">
        <v>803</v>
      </c>
      <c r="J19" s="3" t="s">
        <v>7</v>
      </c>
      <c r="Q19" s="3"/>
      <c r="R19" s="3" t="s">
        <v>152</v>
      </c>
      <c r="Y19" s="75">
        <f t="shared" si="0"/>
        <v>1</v>
      </c>
    </row>
    <row r="20" spans="1:25" ht="15.75" customHeight="1">
      <c r="A20" s="3">
        <v>3</v>
      </c>
      <c r="B20" s="72" t="s">
        <v>804</v>
      </c>
      <c r="C20" s="73">
        <v>2004</v>
      </c>
      <c r="D20" s="72" t="s">
        <v>805</v>
      </c>
      <c r="E20" s="84" t="s">
        <v>806</v>
      </c>
      <c r="J20" s="3" t="s">
        <v>7</v>
      </c>
      <c r="Q20" s="3"/>
      <c r="R20" s="3" t="s">
        <v>152</v>
      </c>
      <c r="Y20" s="75">
        <f t="shared" si="0"/>
        <v>1</v>
      </c>
    </row>
    <row r="21" spans="1:25" ht="15.75" customHeight="1">
      <c r="A21" s="3">
        <v>3</v>
      </c>
      <c r="B21" s="72" t="s">
        <v>807</v>
      </c>
      <c r="C21" s="73">
        <v>2010</v>
      </c>
      <c r="D21" s="72" t="s">
        <v>808</v>
      </c>
      <c r="E21" s="78" t="s">
        <v>809</v>
      </c>
      <c r="J21" s="3" t="s">
        <v>7</v>
      </c>
      <c r="Q21" s="3"/>
      <c r="R21" s="3" t="s">
        <v>152</v>
      </c>
      <c r="Y21" s="75">
        <f t="shared" si="0"/>
        <v>1</v>
      </c>
    </row>
    <row r="22" spans="1:25" ht="15.75" customHeight="1">
      <c r="A22" s="3">
        <v>3</v>
      </c>
      <c r="B22" s="72" t="s">
        <v>810</v>
      </c>
      <c r="C22" s="73">
        <v>2005</v>
      </c>
      <c r="D22" s="72" t="s">
        <v>811</v>
      </c>
      <c r="E22" s="81" t="s">
        <v>812</v>
      </c>
      <c r="J22" s="3" t="s">
        <v>7</v>
      </c>
      <c r="Q22" s="3"/>
      <c r="R22" s="3" t="s">
        <v>152</v>
      </c>
      <c r="Y22" s="75">
        <f t="shared" si="0"/>
        <v>1</v>
      </c>
    </row>
    <row r="23" spans="1:25" ht="15.75" customHeight="1">
      <c r="A23" s="3">
        <v>3</v>
      </c>
      <c r="B23" s="72" t="s">
        <v>813</v>
      </c>
      <c r="C23" s="73">
        <v>2010</v>
      </c>
      <c r="D23" s="72" t="s">
        <v>814</v>
      </c>
      <c r="E23" s="78" t="s">
        <v>815</v>
      </c>
      <c r="J23" s="3" t="s">
        <v>7</v>
      </c>
      <c r="Q23" s="3"/>
      <c r="R23" s="3" t="s">
        <v>152</v>
      </c>
      <c r="Y23" s="75">
        <f t="shared" si="0"/>
        <v>1</v>
      </c>
    </row>
    <row r="24" spans="1:25" ht="15.75" customHeight="1">
      <c r="A24" s="3">
        <v>3</v>
      </c>
      <c r="B24" s="72" t="s">
        <v>816</v>
      </c>
      <c r="C24" s="73">
        <v>2003</v>
      </c>
      <c r="D24" s="72" t="s">
        <v>817</v>
      </c>
      <c r="E24" s="76" t="s">
        <v>818</v>
      </c>
      <c r="J24" s="3" t="s">
        <v>7</v>
      </c>
      <c r="Q24" s="3"/>
      <c r="R24" s="3" t="s">
        <v>152</v>
      </c>
      <c r="Y24" s="75">
        <f t="shared" si="0"/>
        <v>1</v>
      </c>
    </row>
    <row r="25" spans="1:25" ht="15.75" customHeight="1">
      <c r="A25" s="3">
        <v>3</v>
      </c>
      <c r="B25" s="72" t="s">
        <v>819</v>
      </c>
      <c r="C25" s="73">
        <v>2006</v>
      </c>
      <c r="D25" s="72" t="s">
        <v>820</v>
      </c>
      <c r="E25" s="81" t="s">
        <v>821</v>
      </c>
      <c r="J25" s="3" t="s">
        <v>7</v>
      </c>
      <c r="Q25" s="3"/>
      <c r="R25" s="3" t="s">
        <v>152</v>
      </c>
      <c r="Y25" s="75">
        <f t="shared" si="0"/>
        <v>1</v>
      </c>
    </row>
    <row r="26" spans="1:25" ht="15.75" customHeight="1">
      <c r="A26" s="3">
        <v>3</v>
      </c>
      <c r="B26" s="72" t="s">
        <v>822</v>
      </c>
      <c r="C26" s="73">
        <v>2002</v>
      </c>
      <c r="D26" s="72" t="s">
        <v>823</v>
      </c>
      <c r="E26" s="78" t="s">
        <v>824</v>
      </c>
      <c r="J26" s="3" t="s">
        <v>7</v>
      </c>
      <c r="Q26" s="3"/>
      <c r="R26" s="3" t="s">
        <v>152</v>
      </c>
      <c r="Y26" s="75">
        <f t="shared" si="0"/>
        <v>1</v>
      </c>
    </row>
    <row r="27" spans="1:25" ht="15.75" customHeight="1">
      <c r="A27" s="3">
        <v>3</v>
      </c>
      <c r="B27" s="72" t="s">
        <v>825</v>
      </c>
      <c r="C27" s="73">
        <v>2010</v>
      </c>
      <c r="D27" s="72" t="s">
        <v>826</v>
      </c>
      <c r="E27" s="78" t="s">
        <v>827</v>
      </c>
      <c r="J27" s="3" t="s">
        <v>7</v>
      </c>
      <c r="Q27" s="3"/>
      <c r="R27" s="3" t="s">
        <v>152</v>
      </c>
      <c r="Y27" s="75">
        <f t="shared" si="0"/>
        <v>1</v>
      </c>
    </row>
    <row r="28" spans="1:25" ht="15.75" customHeight="1">
      <c r="A28" s="3">
        <v>3</v>
      </c>
      <c r="B28" s="72" t="s">
        <v>828</v>
      </c>
      <c r="C28" s="73">
        <v>2004</v>
      </c>
      <c r="D28" s="72" t="s">
        <v>829</v>
      </c>
      <c r="E28" s="76" t="s">
        <v>830</v>
      </c>
      <c r="J28" s="3" t="s">
        <v>7</v>
      </c>
      <c r="Q28" s="3"/>
      <c r="R28" s="3" t="s">
        <v>152</v>
      </c>
      <c r="Y28" s="75">
        <f t="shared" si="0"/>
        <v>1</v>
      </c>
    </row>
    <row r="29" spans="1:25" ht="15.75" customHeight="1">
      <c r="A29" s="3">
        <v>3</v>
      </c>
      <c r="B29" s="72" t="s">
        <v>831</v>
      </c>
      <c r="C29" s="73">
        <v>2010</v>
      </c>
      <c r="D29" s="72" t="s">
        <v>832</v>
      </c>
      <c r="E29" s="78" t="s">
        <v>833</v>
      </c>
      <c r="J29" s="3" t="s">
        <v>7</v>
      </c>
      <c r="Q29" s="3"/>
      <c r="R29" s="3" t="s">
        <v>152</v>
      </c>
      <c r="Y29" s="75">
        <f t="shared" si="0"/>
        <v>1</v>
      </c>
    </row>
    <row r="30" spans="1:25" ht="15.75" customHeight="1">
      <c r="A30" s="3">
        <v>3</v>
      </c>
      <c r="B30" s="72" t="s">
        <v>834</v>
      </c>
      <c r="C30" s="73">
        <v>2007</v>
      </c>
      <c r="D30" s="72" t="s">
        <v>835</v>
      </c>
      <c r="E30" s="76" t="s">
        <v>836</v>
      </c>
      <c r="J30" s="3" t="s">
        <v>7</v>
      </c>
      <c r="Q30" s="3"/>
      <c r="R30" s="3" t="s">
        <v>152</v>
      </c>
      <c r="Y30" s="75">
        <f t="shared" si="0"/>
        <v>1</v>
      </c>
    </row>
    <row r="31" spans="1:25" ht="15.75" customHeight="1">
      <c r="A31" s="3">
        <v>3</v>
      </c>
      <c r="B31" s="72" t="s">
        <v>837</v>
      </c>
      <c r="C31" s="73">
        <v>2005</v>
      </c>
      <c r="D31" s="72" t="s">
        <v>838</v>
      </c>
      <c r="E31" s="76" t="s">
        <v>839</v>
      </c>
      <c r="J31" s="3" t="s">
        <v>7</v>
      </c>
      <c r="Q31" s="3"/>
      <c r="R31" s="3" t="s">
        <v>152</v>
      </c>
      <c r="Y31" s="75">
        <f t="shared" si="0"/>
        <v>1</v>
      </c>
    </row>
    <row r="32" spans="1:25" ht="15.75" customHeight="1">
      <c r="A32" s="3">
        <v>3</v>
      </c>
      <c r="B32" s="72" t="s">
        <v>840</v>
      </c>
      <c r="C32" s="73">
        <v>1970</v>
      </c>
      <c r="D32" s="72" t="s">
        <v>841</v>
      </c>
      <c r="E32" s="81" t="s">
        <v>842</v>
      </c>
      <c r="J32" s="3" t="s">
        <v>7</v>
      </c>
      <c r="Q32" s="3"/>
      <c r="R32" s="3" t="s">
        <v>152</v>
      </c>
      <c r="Y32" s="75">
        <f t="shared" si="0"/>
        <v>1</v>
      </c>
    </row>
    <row r="33" spans="1:25" ht="15.75" customHeight="1">
      <c r="A33" s="3">
        <v>3</v>
      </c>
      <c r="B33" s="72" t="s">
        <v>843</v>
      </c>
      <c r="C33" s="73">
        <v>2010</v>
      </c>
      <c r="D33" s="72" t="s">
        <v>844</v>
      </c>
      <c r="E33" s="78" t="s">
        <v>845</v>
      </c>
      <c r="J33" s="3" t="s">
        <v>7</v>
      </c>
      <c r="Q33" s="3"/>
      <c r="R33" s="3" t="s">
        <v>152</v>
      </c>
      <c r="Y33" s="75">
        <f t="shared" si="0"/>
        <v>1</v>
      </c>
    </row>
    <row r="34" spans="1:25" ht="15.75" customHeight="1">
      <c r="A34" s="3">
        <v>3</v>
      </c>
      <c r="B34" s="72" t="s">
        <v>846</v>
      </c>
      <c r="C34" s="73">
        <v>2010</v>
      </c>
      <c r="D34" s="72" t="s">
        <v>847</v>
      </c>
      <c r="E34" s="74" t="s">
        <v>848</v>
      </c>
      <c r="J34" s="3" t="s">
        <v>7</v>
      </c>
      <c r="Q34" s="3"/>
      <c r="R34" s="3" t="s">
        <v>152</v>
      </c>
      <c r="Y34" s="75">
        <f t="shared" si="0"/>
        <v>1</v>
      </c>
    </row>
    <row r="35" spans="1:25" ht="15.75" customHeight="1">
      <c r="A35" s="3">
        <v>3</v>
      </c>
      <c r="B35" s="72" t="s">
        <v>849</v>
      </c>
      <c r="C35" s="73">
        <v>2010</v>
      </c>
      <c r="D35" s="72" t="s">
        <v>850</v>
      </c>
      <c r="E35" s="74" t="s">
        <v>851</v>
      </c>
      <c r="J35" s="3" t="s">
        <v>7</v>
      </c>
      <c r="Q35" s="3"/>
      <c r="R35" s="3" t="s">
        <v>152</v>
      </c>
      <c r="Y35" s="75">
        <f t="shared" si="0"/>
        <v>1</v>
      </c>
    </row>
    <row r="36" spans="1:25" ht="15.75" customHeight="1">
      <c r="A36" s="3">
        <v>3</v>
      </c>
      <c r="B36" s="72" t="s">
        <v>852</v>
      </c>
      <c r="C36" s="73">
        <v>2014</v>
      </c>
      <c r="D36" s="72" t="s">
        <v>853</v>
      </c>
      <c r="E36" s="79" t="s">
        <v>854</v>
      </c>
      <c r="F36" s="52"/>
      <c r="G36" s="52"/>
      <c r="H36" s="53" t="s">
        <v>7</v>
      </c>
      <c r="I36" s="52"/>
      <c r="J36" s="52"/>
      <c r="K36" s="50"/>
      <c r="L36" s="50"/>
      <c r="M36" s="50"/>
      <c r="N36" s="50"/>
      <c r="O36" s="50"/>
      <c r="P36" s="50"/>
      <c r="Q36" s="3"/>
      <c r="R36" s="3" t="s">
        <v>152</v>
      </c>
      <c r="Y36" s="75">
        <f t="shared" si="0"/>
        <v>1</v>
      </c>
    </row>
    <row r="37" spans="1:25" ht="15.75" customHeight="1">
      <c r="A37" s="3">
        <v>3</v>
      </c>
      <c r="B37" s="72" t="s">
        <v>855</v>
      </c>
      <c r="C37" s="73">
        <v>2012</v>
      </c>
      <c r="D37" s="72" t="s">
        <v>856</v>
      </c>
      <c r="E37" s="76" t="s">
        <v>857</v>
      </c>
      <c r="F37" s="52"/>
      <c r="G37" s="52"/>
      <c r="H37" s="52"/>
      <c r="I37" s="52"/>
      <c r="J37" s="52"/>
      <c r="K37" s="50"/>
      <c r="L37" s="50"/>
      <c r="M37" s="50"/>
      <c r="N37" s="51" t="s">
        <v>7</v>
      </c>
      <c r="O37" s="50"/>
      <c r="P37" s="50"/>
      <c r="Q37" s="3"/>
      <c r="R37" s="3" t="s">
        <v>152</v>
      </c>
      <c r="Y37" s="75">
        <f t="shared" si="0"/>
        <v>1</v>
      </c>
    </row>
    <row r="38" spans="1:25" ht="15.75" customHeight="1">
      <c r="A38" s="3">
        <v>3</v>
      </c>
      <c r="B38" s="72" t="s">
        <v>858</v>
      </c>
      <c r="C38" s="73">
        <v>2005</v>
      </c>
      <c r="D38" s="72" t="s">
        <v>859</v>
      </c>
      <c r="E38" s="78" t="s">
        <v>860</v>
      </c>
      <c r="J38" s="3" t="s">
        <v>7</v>
      </c>
      <c r="Q38" s="3"/>
      <c r="R38" s="3" t="s">
        <v>152</v>
      </c>
      <c r="Y38" s="75">
        <f t="shared" si="0"/>
        <v>1</v>
      </c>
    </row>
    <row r="39" spans="1:25" ht="15.75" customHeight="1">
      <c r="A39" s="3">
        <v>3</v>
      </c>
      <c r="B39" s="72" t="s">
        <v>861</v>
      </c>
      <c r="C39" s="73">
        <v>2016</v>
      </c>
      <c r="D39" s="72" t="s">
        <v>862</v>
      </c>
      <c r="E39" s="78" t="s">
        <v>863</v>
      </c>
      <c r="F39" s="52"/>
      <c r="G39" s="52"/>
      <c r="H39" s="52"/>
      <c r="I39" s="52"/>
      <c r="J39" s="52"/>
      <c r="K39" s="50"/>
      <c r="L39" s="50"/>
      <c r="M39" s="50"/>
      <c r="N39" s="50"/>
      <c r="O39" s="50"/>
      <c r="P39" s="51" t="s">
        <v>7</v>
      </c>
      <c r="Q39" s="3"/>
      <c r="R39" s="3" t="s">
        <v>152</v>
      </c>
      <c r="S39" s="3" t="s">
        <v>864</v>
      </c>
      <c r="Y39" s="75">
        <f t="shared" si="0"/>
        <v>1</v>
      </c>
    </row>
    <row r="40" spans="1:25" ht="15.75" customHeight="1">
      <c r="A40" s="3">
        <v>3</v>
      </c>
      <c r="B40" s="72" t="s">
        <v>865</v>
      </c>
      <c r="C40" s="73">
        <v>2010</v>
      </c>
      <c r="D40" s="72" t="s">
        <v>866</v>
      </c>
      <c r="E40" s="81" t="s">
        <v>867</v>
      </c>
      <c r="J40" s="3" t="s">
        <v>7</v>
      </c>
      <c r="Q40" s="3"/>
      <c r="R40" s="3" t="s">
        <v>152</v>
      </c>
      <c r="Y40" s="75">
        <f t="shared" si="0"/>
        <v>1</v>
      </c>
    </row>
    <row r="41" spans="1:25" ht="15.75" customHeight="1">
      <c r="A41" s="3">
        <v>3</v>
      </c>
      <c r="B41" s="72" t="s">
        <v>868</v>
      </c>
      <c r="C41" s="73">
        <v>2015</v>
      </c>
      <c r="D41" s="72" t="s">
        <v>869</v>
      </c>
      <c r="E41" s="81" t="s">
        <v>870</v>
      </c>
      <c r="F41" s="52"/>
      <c r="G41" s="52"/>
      <c r="H41" s="53" t="s">
        <v>7</v>
      </c>
      <c r="I41" s="52"/>
      <c r="J41" s="52"/>
      <c r="K41" s="50"/>
      <c r="L41" s="50"/>
      <c r="M41" s="50"/>
      <c r="N41" s="50"/>
      <c r="O41" s="50"/>
      <c r="P41" s="50"/>
      <c r="Q41" s="3"/>
      <c r="R41" s="3" t="s">
        <v>152</v>
      </c>
      <c r="Y41" s="75">
        <f t="shared" si="0"/>
        <v>1</v>
      </c>
    </row>
    <row r="42" spans="1:25" ht="15.75" customHeight="1">
      <c r="A42" s="3">
        <v>3</v>
      </c>
      <c r="B42" s="72" t="s">
        <v>871</v>
      </c>
      <c r="C42" s="73">
        <v>1990</v>
      </c>
      <c r="D42" s="72" t="s">
        <v>872</v>
      </c>
      <c r="E42" s="78" t="s">
        <v>873</v>
      </c>
      <c r="J42" s="3" t="s">
        <v>7</v>
      </c>
      <c r="Q42" s="3"/>
      <c r="R42" s="3" t="s">
        <v>152</v>
      </c>
      <c r="Y42" s="75">
        <f t="shared" si="0"/>
        <v>1</v>
      </c>
    </row>
    <row r="43" spans="1:25" ht="15.75" customHeight="1">
      <c r="A43" s="3">
        <v>3</v>
      </c>
      <c r="B43" s="72" t="s">
        <v>874</v>
      </c>
      <c r="C43" s="73">
        <v>1996</v>
      </c>
      <c r="D43" s="72" t="s">
        <v>875</v>
      </c>
      <c r="E43" s="85" t="s">
        <v>876</v>
      </c>
      <c r="J43" s="3" t="s">
        <v>7</v>
      </c>
      <c r="Q43" s="3"/>
      <c r="R43" s="3" t="s">
        <v>152</v>
      </c>
      <c r="Y43" s="75">
        <f t="shared" si="0"/>
        <v>1</v>
      </c>
    </row>
    <row r="44" spans="1:25" ht="15.75" customHeight="1">
      <c r="A44" s="3">
        <v>3</v>
      </c>
      <c r="B44" s="72" t="s">
        <v>877</v>
      </c>
      <c r="C44" s="73">
        <v>2005</v>
      </c>
      <c r="D44" s="72" t="s">
        <v>784</v>
      </c>
      <c r="E44" s="85" t="s">
        <v>878</v>
      </c>
      <c r="J44" s="3" t="s">
        <v>7</v>
      </c>
      <c r="Q44" s="3"/>
      <c r="R44" s="3" t="s">
        <v>152</v>
      </c>
      <c r="Y44" s="75">
        <f t="shared" si="0"/>
        <v>1</v>
      </c>
    </row>
    <row r="45" spans="1:25" ht="14.4">
      <c r="A45" s="3">
        <v>3</v>
      </c>
      <c r="B45" s="72" t="s">
        <v>879</v>
      </c>
      <c r="C45" s="73">
        <v>2005</v>
      </c>
      <c r="D45" s="72" t="s">
        <v>880</v>
      </c>
      <c r="E45" s="86" t="s">
        <v>881</v>
      </c>
      <c r="J45" s="3" t="s">
        <v>7</v>
      </c>
      <c r="Q45" s="3"/>
      <c r="R45" s="3" t="s">
        <v>152</v>
      </c>
      <c r="Y45" s="75">
        <f t="shared" si="0"/>
        <v>1</v>
      </c>
    </row>
    <row r="46" spans="1:25" ht="14.4">
      <c r="A46" s="3">
        <v>3</v>
      </c>
      <c r="B46" s="72" t="s">
        <v>882</v>
      </c>
      <c r="C46" s="72">
        <v>2005</v>
      </c>
      <c r="D46" s="72" t="s">
        <v>883</v>
      </c>
      <c r="E46" s="86" t="s">
        <v>884</v>
      </c>
      <c r="J46" s="3" t="s">
        <v>7</v>
      </c>
      <c r="Q46" s="3"/>
      <c r="R46" s="3" t="s">
        <v>152</v>
      </c>
      <c r="Y46" s="75" t="e">
        <f t="shared" si="0"/>
        <v>#VALUE!</v>
      </c>
    </row>
    <row r="47" spans="1:25" ht="14.4">
      <c r="A47" s="3">
        <v>3</v>
      </c>
      <c r="B47" s="72" t="s">
        <v>885</v>
      </c>
      <c r="C47" s="73">
        <v>2007</v>
      </c>
      <c r="D47" s="72" t="s">
        <v>886</v>
      </c>
      <c r="E47" s="85" t="s">
        <v>887</v>
      </c>
      <c r="J47" s="3" t="s">
        <v>7</v>
      </c>
      <c r="L47" s="3" t="s">
        <v>7</v>
      </c>
      <c r="Q47" s="3"/>
      <c r="R47" s="3" t="s">
        <v>152</v>
      </c>
      <c r="Y47" s="75">
        <f t="shared" si="0"/>
        <v>1</v>
      </c>
    </row>
    <row r="48" spans="1:25" ht="14.4">
      <c r="A48" s="3">
        <v>3</v>
      </c>
      <c r="B48" s="72" t="s">
        <v>888</v>
      </c>
      <c r="C48" s="73">
        <v>2001</v>
      </c>
      <c r="D48" s="72" t="s">
        <v>889</v>
      </c>
      <c r="E48" s="86" t="s">
        <v>890</v>
      </c>
      <c r="J48" s="3" t="s">
        <v>7</v>
      </c>
      <c r="Q48" s="3"/>
      <c r="R48" s="3" t="s">
        <v>152</v>
      </c>
      <c r="Y48" s="75">
        <f t="shared" si="0"/>
        <v>1</v>
      </c>
    </row>
    <row r="49" spans="1:25" ht="14.4">
      <c r="A49" s="3">
        <v>3</v>
      </c>
      <c r="B49" s="72" t="s">
        <v>891</v>
      </c>
      <c r="C49" s="73">
        <v>2004</v>
      </c>
      <c r="D49" s="72" t="s">
        <v>892</v>
      </c>
      <c r="E49" s="87" t="s">
        <v>893</v>
      </c>
      <c r="J49" s="3" t="s">
        <v>7</v>
      </c>
      <c r="M49" s="3" t="s">
        <v>7</v>
      </c>
      <c r="Q49" s="3"/>
      <c r="R49" s="3" t="s">
        <v>152</v>
      </c>
      <c r="Y49" s="75">
        <f t="shared" si="0"/>
        <v>1</v>
      </c>
    </row>
    <row r="50" spans="1:25" ht="14.4">
      <c r="A50" s="3">
        <v>3</v>
      </c>
      <c r="B50" s="72" t="s">
        <v>894</v>
      </c>
      <c r="C50" s="73">
        <v>2006</v>
      </c>
      <c r="D50" s="72" t="s">
        <v>895</v>
      </c>
      <c r="E50" s="86" t="s">
        <v>896</v>
      </c>
      <c r="J50" s="3" t="s">
        <v>7</v>
      </c>
      <c r="Q50" s="3"/>
      <c r="R50" s="3" t="s">
        <v>152</v>
      </c>
      <c r="Y50" s="75">
        <f t="shared" si="0"/>
        <v>1</v>
      </c>
    </row>
    <row r="51" spans="1:25" ht="14.4">
      <c r="A51" s="3">
        <v>3</v>
      </c>
      <c r="B51" s="72" t="s">
        <v>897</v>
      </c>
      <c r="C51" s="73">
        <v>2009</v>
      </c>
      <c r="D51" s="72" t="s">
        <v>898</v>
      </c>
      <c r="E51" s="86" t="s">
        <v>899</v>
      </c>
      <c r="J51" s="3" t="s">
        <v>7</v>
      </c>
      <c r="Q51" s="3"/>
      <c r="R51" s="3" t="s">
        <v>152</v>
      </c>
      <c r="Y51" s="75">
        <f t="shared" si="0"/>
        <v>1</v>
      </c>
    </row>
    <row r="52" spans="1:25" ht="14.4">
      <c r="A52" s="3">
        <v>3</v>
      </c>
      <c r="B52" s="72" t="s">
        <v>900</v>
      </c>
      <c r="C52" s="73">
        <v>2004</v>
      </c>
      <c r="D52" s="72" t="s">
        <v>901</v>
      </c>
      <c r="E52" s="85" t="s">
        <v>902</v>
      </c>
      <c r="J52" s="3" t="s">
        <v>7</v>
      </c>
      <c r="Q52" s="3"/>
      <c r="R52" s="3" t="s">
        <v>152</v>
      </c>
      <c r="Y52" s="75">
        <f t="shared" si="0"/>
        <v>1</v>
      </c>
    </row>
    <row r="53" spans="1:25" ht="14.4">
      <c r="A53" s="3">
        <v>3</v>
      </c>
      <c r="B53" s="72" t="s">
        <v>903</v>
      </c>
      <c r="C53" s="80"/>
      <c r="D53" s="72" t="s">
        <v>904</v>
      </c>
      <c r="E53" s="86" t="s">
        <v>905</v>
      </c>
      <c r="F53" s="52"/>
      <c r="G53" s="52"/>
      <c r="H53" s="52"/>
      <c r="I53" s="52"/>
      <c r="J53" s="52"/>
      <c r="K53" s="50"/>
      <c r="L53" s="50"/>
      <c r="M53" s="50"/>
      <c r="N53" s="50"/>
      <c r="O53" s="50"/>
      <c r="P53" s="50"/>
      <c r="Q53" s="3"/>
      <c r="R53" s="3" t="s">
        <v>152</v>
      </c>
      <c r="S53" s="3" t="s">
        <v>906</v>
      </c>
      <c r="Y53" s="75">
        <f t="shared" si="0"/>
        <v>1</v>
      </c>
    </row>
    <row r="54" spans="1:25" ht="14.4">
      <c r="A54" s="3">
        <v>3</v>
      </c>
      <c r="B54" s="72" t="s">
        <v>907</v>
      </c>
      <c r="C54" s="73">
        <v>2012</v>
      </c>
      <c r="D54" s="72" t="s">
        <v>908</v>
      </c>
      <c r="E54" s="74" t="s">
        <v>909</v>
      </c>
      <c r="F54" s="52"/>
      <c r="G54" s="52"/>
      <c r="H54" s="52"/>
      <c r="I54" s="52"/>
      <c r="J54" s="52"/>
      <c r="K54" s="50"/>
      <c r="L54" s="50"/>
      <c r="M54" s="50"/>
      <c r="N54" s="50"/>
      <c r="O54" s="50"/>
      <c r="P54" s="50"/>
      <c r="Q54" s="3"/>
      <c r="R54" s="3" t="s">
        <v>152</v>
      </c>
      <c r="S54" s="3" t="s">
        <v>906</v>
      </c>
      <c r="Y54" s="75">
        <f t="shared" si="0"/>
        <v>1</v>
      </c>
    </row>
    <row r="55" spans="1:25" ht="14.4">
      <c r="A55" s="3">
        <v>3</v>
      </c>
      <c r="B55" s="72" t="s">
        <v>910</v>
      </c>
      <c r="C55" s="73">
        <v>2012</v>
      </c>
      <c r="D55" s="72" t="s">
        <v>911</v>
      </c>
      <c r="E55" s="85" t="s">
        <v>912</v>
      </c>
      <c r="F55" s="52"/>
      <c r="G55" s="52"/>
      <c r="H55" s="52"/>
      <c r="I55" s="52"/>
      <c r="J55" s="52"/>
      <c r="K55" s="50"/>
      <c r="L55" s="50"/>
      <c r="M55" s="50"/>
      <c r="N55" s="50"/>
      <c r="O55" s="50"/>
      <c r="P55" s="50"/>
      <c r="Q55" s="3"/>
      <c r="R55" s="3" t="s">
        <v>152</v>
      </c>
      <c r="S55" s="3" t="s">
        <v>906</v>
      </c>
      <c r="Y55" s="75">
        <f t="shared" si="0"/>
        <v>1</v>
      </c>
    </row>
    <row r="56" spans="1:25" ht="14.4">
      <c r="A56" s="3">
        <v>3</v>
      </c>
      <c r="B56" s="72" t="s">
        <v>913</v>
      </c>
      <c r="C56" s="80"/>
      <c r="D56" s="72" t="s">
        <v>914</v>
      </c>
      <c r="E56" s="85" t="s">
        <v>915</v>
      </c>
      <c r="F56" s="52"/>
      <c r="G56" s="52"/>
      <c r="H56" s="52"/>
      <c r="I56" s="52"/>
      <c r="J56" s="52"/>
      <c r="K56" s="50"/>
      <c r="L56" s="50"/>
      <c r="M56" s="50"/>
      <c r="N56" s="50"/>
      <c r="O56" s="50"/>
      <c r="P56" s="50"/>
      <c r="Q56" s="3"/>
      <c r="R56" s="3" t="s">
        <v>152</v>
      </c>
      <c r="S56" s="3" t="s">
        <v>906</v>
      </c>
      <c r="Y56" s="75">
        <f t="shared" si="0"/>
        <v>1</v>
      </c>
    </row>
    <row r="57" spans="1:25" ht="14.4">
      <c r="A57" s="3">
        <v>3</v>
      </c>
      <c r="B57" s="72" t="s">
        <v>916</v>
      </c>
      <c r="C57" s="73">
        <v>2007</v>
      </c>
      <c r="D57" s="72" t="s">
        <v>917</v>
      </c>
      <c r="E57" s="85" t="s">
        <v>918</v>
      </c>
      <c r="J57" s="3" t="s">
        <v>7</v>
      </c>
      <c r="Q57" s="3"/>
      <c r="R57" s="3" t="s">
        <v>152</v>
      </c>
      <c r="Y57" s="75">
        <f t="shared" si="0"/>
        <v>1</v>
      </c>
    </row>
    <row r="58" spans="1:25" ht="14.4">
      <c r="A58" s="3">
        <v>3</v>
      </c>
      <c r="B58" s="72" t="s">
        <v>919</v>
      </c>
      <c r="C58" s="73">
        <v>2012</v>
      </c>
      <c r="D58" s="72" t="s">
        <v>920</v>
      </c>
      <c r="E58" s="85" t="s">
        <v>921</v>
      </c>
      <c r="F58" s="52"/>
      <c r="G58" s="52"/>
      <c r="H58" s="52"/>
      <c r="I58" s="52"/>
      <c r="J58" s="52"/>
      <c r="K58" s="50"/>
      <c r="L58" s="50"/>
      <c r="M58" s="50"/>
      <c r="N58" s="50"/>
      <c r="O58" s="50"/>
      <c r="P58" s="50"/>
      <c r="Q58" s="3"/>
      <c r="R58" s="3" t="s">
        <v>152</v>
      </c>
      <c r="S58" s="3" t="s">
        <v>906</v>
      </c>
      <c r="Y58" s="75">
        <f t="shared" si="0"/>
        <v>1</v>
      </c>
    </row>
    <row r="59" spans="1:25" ht="14.4">
      <c r="A59" s="3">
        <v>3</v>
      </c>
      <c r="B59" s="72" t="s">
        <v>922</v>
      </c>
      <c r="C59" s="73">
        <v>2010</v>
      </c>
      <c r="D59" s="80"/>
      <c r="E59" s="74" t="s">
        <v>923</v>
      </c>
      <c r="F59" s="52"/>
      <c r="G59" s="52"/>
      <c r="H59" s="52"/>
      <c r="I59" s="52"/>
      <c r="J59" s="52"/>
      <c r="K59" s="50"/>
      <c r="L59" s="50"/>
      <c r="M59" s="50"/>
      <c r="N59" s="50"/>
      <c r="O59" s="50"/>
      <c r="P59" s="50"/>
      <c r="Q59" s="3"/>
      <c r="R59" s="3" t="s">
        <v>152</v>
      </c>
      <c r="S59" s="3" t="s">
        <v>906</v>
      </c>
      <c r="Y59" s="75">
        <f t="shared" si="0"/>
        <v>1</v>
      </c>
    </row>
    <row r="60" spans="1:25" ht="14.4">
      <c r="A60" s="3">
        <v>3</v>
      </c>
      <c r="B60" s="72" t="s">
        <v>924</v>
      </c>
      <c r="C60" s="73">
        <v>2008</v>
      </c>
      <c r="D60" s="72" t="s">
        <v>925</v>
      </c>
      <c r="E60" s="74" t="s">
        <v>926</v>
      </c>
      <c r="F60" s="52"/>
      <c r="G60" s="52"/>
      <c r="H60" s="52"/>
      <c r="I60" s="52"/>
      <c r="J60" s="52"/>
      <c r="K60" s="50"/>
      <c r="L60" s="50"/>
      <c r="M60" s="50"/>
      <c r="N60" s="50"/>
      <c r="O60" s="50"/>
      <c r="P60" s="50"/>
      <c r="Q60" s="3"/>
      <c r="R60" s="3" t="s">
        <v>152</v>
      </c>
      <c r="S60" s="3" t="s">
        <v>906</v>
      </c>
      <c r="Y60" s="75">
        <f t="shared" si="0"/>
        <v>1</v>
      </c>
    </row>
    <row r="61" spans="1:25" ht="14.4">
      <c r="A61" s="3">
        <v>3</v>
      </c>
      <c r="B61" s="72" t="s">
        <v>927</v>
      </c>
      <c r="C61" s="73">
        <v>2006</v>
      </c>
      <c r="D61" s="72" t="s">
        <v>928</v>
      </c>
      <c r="E61" s="85" t="s">
        <v>929</v>
      </c>
      <c r="J61" s="3" t="s">
        <v>7</v>
      </c>
      <c r="Q61" s="3"/>
      <c r="R61" s="3" t="s">
        <v>152</v>
      </c>
      <c r="Y61" s="75">
        <f t="shared" si="0"/>
        <v>1</v>
      </c>
    </row>
    <row r="62" spans="1:25" ht="14.4">
      <c r="A62" s="3">
        <v>3</v>
      </c>
      <c r="B62" s="72" t="s">
        <v>930</v>
      </c>
      <c r="C62" s="73">
        <v>2008</v>
      </c>
      <c r="D62" s="72" t="s">
        <v>931</v>
      </c>
      <c r="E62" s="88" t="s">
        <v>932</v>
      </c>
      <c r="J62" s="3" t="s">
        <v>7</v>
      </c>
      <c r="Q62" s="3"/>
      <c r="R62" s="3" t="s">
        <v>152</v>
      </c>
      <c r="Y62" s="75">
        <f t="shared" si="0"/>
        <v>2</v>
      </c>
    </row>
    <row r="63" spans="1:25" ht="14.4">
      <c r="A63" s="3">
        <v>3</v>
      </c>
      <c r="B63" s="72" t="s">
        <v>933</v>
      </c>
      <c r="C63" s="73">
        <v>2005</v>
      </c>
      <c r="D63" s="72" t="s">
        <v>934</v>
      </c>
      <c r="E63" s="85" t="s">
        <v>935</v>
      </c>
      <c r="J63" s="3" t="s">
        <v>7</v>
      </c>
      <c r="Q63" s="3"/>
      <c r="R63" s="3" t="s">
        <v>152</v>
      </c>
      <c r="Y63" s="75">
        <f t="shared" si="0"/>
        <v>1</v>
      </c>
    </row>
    <row r="64" spans="1:25" ht="14.4">
      <c r="A64" s="3">
        <v>3</v>
      </c>
      <c r="B64" s="72" t="s">
        <v>936</v>
      </c>
      <c r="C64" s="73">
        <v>2005</v>
      </c>
      <c r="D64" s="72" t="s">
        <v>937</v>
      </c>
      <c r="E64" s="86" t="s">
        <v>938</v>
      </c>
      <c r="J64" s="3" t="s">
        <v>7</v>
      </c>
      <c r="Q64" s="3"/>
      <c r="R64" s="3" t="s">
        <v>152</v>
      </c>
      <c r="Y64" s="75">
        <f t="shared" si="0"/>
        <v>1</v>
      </c>
    </row>
    <row r="65" spans="1:25" ht="14.4">
      <c r="A65" s="3">
        <v>3</v>
      </c>
      <c r="B65" s="72" t="s">
        <v>939</v>
      </c>
      <c r="C65" s="73">
        <v>1995</v>
      </c>
      <c r="D65" s="72" t="s">
        <v>940</v>
      </c>
      <c r="E65" s="86" t="s">
        <v>941</v>
      </c>
      <c r="J65" s="3" t="s">
        <v>7</v>
      </c>
      <c r="Q65" s="3"/>
      <c r="R65" s="3" t="s">
        <v>152</v>
      </c>
      <c r="Y65" s="75">
        <f t="shared" si="0"/>
        <v>1</v>
      </c>
    </row>
    <row r="66" spans="1:25" ht="14.4">
      <c r="A66" s="3">
        <v>3</v>
      </c>
      <c r="B66" s="72" t="s">
        <v>942</v>
      </c>
      <c r="C66" s="73">
        <v>2007</v>
      </c>
      <c r="D66" s="72" t="s">
        <v>943</v>
      </c>
      <c r="E66" s="89" t="s">
        <v>944</v>
      </c>
      <c r="J66" s="3" t="s">
        <v>7</v>
      </c>
      <c r="Q66" s="3"/>
      <c r="R66" s="3" t="s">
        <v>152</v>
      </c>
      <c r="Y66" s="75">
        <f t="shared" si="0"/>
        <v>1</v>
      </c>
    </row>
    <row r="67" spans="1:25" ht="14.4">
      <c r="A67" s="3">
        <v>3</v>
      </c>
      <c r="B67" s="72" t="s">
        <v>945</v>
      </c>
      <c r="C67" s="73">
        <v>2008</v>
      </c>
      <c r="D67" s="72" t="s">
        <v>946</v>
      </c>
      <c r="E67" s="90" t="s">
        <v>947</v>
      </c>
      <c r="J67" s="3" t="s">
        <v>7</v>
      </c>
      <c r="Q67" s="3"/>
      <c r="R67" s="3" t="s">
        <v>152</v>
      </c>
      <c r="Y67" s="75">
        <f t="shared" si="0"/>
        <v>1</v>
      </c>
    </row>
    <row r="68" spans="1:25" ht="14.4">
      <c r="A68" s="3" t="s">
        <v>948</v>
      </c>
      <c r="B68" s="72" t="s">
        <v>949</v>
      </c>
      <c r="C68" s="73">
        <v>2009</v>
      </c>
      <c r="D68" s="72" t="s">
        <v>950</v>
      </c>
      <c r="E68" s="90" t="s">
        <v>951</v>
      </c>
      <c r="J68" s="3" t="s">
        <v>7</v>
      </c>
      <c r="Q68" s="3"/>
      <c r="R68" s="3" t="s">
        <v>152</v>
      </c>
      <c r="Y68" s="75">
        <f t="shared" si="0"/>
        <v>1</v>
      </c>
    </row>
    <row r="69" spans="1:25" ht="14.4">
      <c r="A69" s="3">
        <v>5</v>
      </c>
      <c r="B69" s="72" t="s">
        <v>952</v>
      </c>
      <c r="C69" s="73">
        <v>2012</v>
      </c>
      <c r="D69" s="72" t="s">
        <v>953</v>
      </c>
      <c r="E69" s="76" t="s">
        <v>954</v>
      </c>
      <c r="F69" s="52"/>
      <c r="G69" s="52"/>
      <c r="H69" s="52"/>
      <c r="I69" s="52"/>
      <c r="J69" s="52"/>
      <c r="K69" s="50"/>
      <c r="L69" s="50"/>
      <c r="M69" s="50"/>
      <c r="N69" s="51" t="s">
        <v>7</v>
      </c>
      <c r="O69" s="50"/>
      <c r="P69" s="50"/>
      <c r="Q69" s="3"/>
      <c r="R69" s="3" t="s">
        <v>152</v>
      </c>
      <c r="Y69" s="75">
        <f t="shared" si="0"/>
        <v>1</v>
      </c>
    </row>
    <row r="70" spans="1:25" ht="14.4">
      <c r="A70" s="3">
        <v>5</v>
      </c>
      <c r="B70" s="72" t="s">
        <v>955</v>
      </c>
      <c r="C70" s="73">
        <v>2012</v>
      </c>
      <c r="D70" s="72" t="s">
        <v>956</v>
      </c>
      <c r="E70" s="81" t="s">
        <v>957</v>
      </c>
      <c r="F70" s="53" t="s">
        <v>7</v>
      </c>
      <c r="G70" s="53" t="s">
        <v>7</v>
      </c>
      <c r="H70" s="52"/>
      <c r="I70" s="52"/>
      <c r="J70" s="52"/>
      <c r="K70" s="50"/>
      <c r="L70" s="50"/>
      <c r="M70" s="50"/>
      <c r="N70" s="50"/>
      <c r="O70" s="50"/>
      <c r="P70" s="50"/>
      <c r="Q70" s="3"/>
      <c r="R70" s="3" t="s">
        <v>152</v>
      </c>
      <c r="Y70" s="75">
        <f t="shared" si="0"/>
        <v>1</v>
      </c>
    </row>
    <row r="71" spans="1:25" ht="14.4">
      <c r="A71" s="3">
        <v>5</v>
      </c>
      <c r="B71" s="72" t="s">
        <v>958</v>
      </c>
      <c r="C71" s="73">
        <v>2012</v>
      </c>
      <c r="D71" s="72" t="s">
        <v>959</v>
      </c>
      <c r="E71" s="81" t="s">
        <v>960</v>
      </c>
      <c r="F71" s="53" t="s">
        <v>7</v>
      </c>
      <c r="G71" s="52"/>
      <c r="H71" s="52"/>
      <c r="I71" s="52"/>
      <c r="J71" s="52"/>
      <c r="K71" s="50"/>
      <c r="L71" s="50"/>
      <c r="M71" s="50"/>
      <c r="N71" s="51" t="s">
        <v>286</v>
      </c>
      <c r="O71" s="50"/>
      <c r="P71" s="50"/>
      <c r="Q71" s="3"/>
      <c r="R71" s="3" t="s">
        <v>152</v>
      </c>
      <c r="Y71" s="75">
        <f t="shared" si="0"/>
        <v>1</v>
      </c>
    </row>
    <row r="72" spans="1:25" ht="14.4">
      <c r="A72" s="3">
        <v>5</v>
      </c>
      <c r="B72" s="72" t="s">
        <v>961</v>
      </c>
      <c r="C72" s="73">
        <v>2012</v>
      </c>
      <c r="D72" s="72" t="s">
        <v>962</v>
      </c>
      <c r="E72" s="74" t="s">
        <v>963</v>
      </c>
      <c r="F72" s="53" t="s">
        <v>7</v>
      </c>
      <c r="G72" s="52"/>
      <c r="H72" s="52"/>
      <c r="I72" s="52"/>
      <c r="J72" s="52"/>
      <c r="K72" s="50"/>
      <c r="L72" s="50"/>
      <c r="M72" s="50"/>
      <c r="N72" s="50"/>
      <c r="O72" s="50"/>
      <c r="P72" s="50"/>
      <c r="Q72" s="3"/>
      <c r="R72" s="3" t="s">
        <v>152</v>
      </c>
      <c r="Y72" s="75">
        <f t="shared" si="0"/>
        <v>1</v>
      </c>
    </row>
    <row r="73" spans="1:25" ht="14.4">
      <c r="A73" s="3">
        <v>5</v>
      </c>
      <c r="B73" s="72" t="s">
        <v>964</v>
      </c>
      <c r="C73" s="73">
        <v>2014</v>
      </c>
      <c r="D73" s="72" t="s">
        <v>965</v>
      </c>
      <c r="E73" s="76" t="s">
        <v>966</v>
      </c>
      <c r="F73" s="52"/>
      <c r="G73" s="52"/>
      <c r="H73" s="52"/>
      <c r="I73" s="52"/>
      <c r="J73" s="52"/>
      <c r="K73" s="51" t="s">
        <v>7</v>
      </c>
      <c r="L73" s="50"/>
      <c r="M73" s="50"/>
      <c r="N73" s="50"/>
      <c r="O73" s="50"/>
      <c r="P73" s="50"/>
      <c r="Q73" s="3"/>
      <c r="R73" s="3" t="s">
        <v>152</v>
      </c>
      <c r="Y73" s="75">
        <f t="shared" si="0"/>
        <v>1</v>
      </c>
    </row>
    <row r="74" spans="1:25" ht="14.4">
      <c r="A74" s="3">
        <v>5</v>
      </c>
      <c r="B74" s="72" t="s">
        <v>967</v>
      </c>
      <c r="C74" s="73">
        <v>2010</v>
      </c>
      <c r="D74" s="72" t="s">
        <v>968</v>
      </c>
      <c r="E74" s="81" t="s">
        <v>969</v>
      </c>
      <c r="J74" s="3" t="s">
        <v>7</v>
      </c>
      <c r="Q74" s="3"/>
      <c r="R74" s="3" t="s">
        <v>152</v>
      </c>
      <c r="Y74" s="75">
        <f t="shared" si="0"/>
        <v>1</v>
      </c>
    </row>
    <row r="75" spans="1:25" ht="14.4">
      <c r="A75" s="3">
        <v>5</v>
      </c>
      <c r="B75" s="72" t="s">
        <v>970</v>
      </c>
      <c r="C75" s="73">
        <v>2006</v>
      </c>
      <c r="D75" s="72" t="s">
        <v>971</v>
      </c>
      <c r="E75" s="79" t="s">
        <v>972</v>
      </c>
      <c r="J75" s="3" t="s">
        <v>7</v>
      </c>
      <c r="Q75" s="3"/>
      <c r="R75" s="3" t="s">
        <v>152</v>
      </c>
      <c r="Y75" s="75">
        <f t="shared" si="0"/>
        <v>1</v>
      </c>
    </row>
    <row r="76" spans="1:25" ht="14.4">
      <c r="A76" s="3">
        <v>5</v>
      </c>
      <c r="B76" s="72" t="s">
        <v>973</v>
      </c>
      <c r="C76" s="73">
        <v>2009</v>
      </c>
      <c r="D76" s="72" t="s">
        <v>974</v>
      </c>
      <c r="E76" s="83" t="s">
        <v>975</v>
      </c>
      <c r="J76" s="3" t="s">
        <v>7</v>
      </c>
      <c r="Q76" s="3"/>
      <c r="R76" s="3" t="s">
        <v>152</v>
      </c>
      <c r="Y76" s="75">
        <f t="shared" si="0"/>
        <v>1</v>
      </c>
    </row>
    <row r="77" spans="1:25" ht="14.4">
      <c r="A77" s="3">
        <v>5</v>
      </c>
      <c r="B77" s="72" t="s">
        <v>976</v>
      </c>
      <c r="C77" s="73">
        <v>2015</v>
      </c>
      <c r="D77" s="72" t="s">
        <v>977</v>
      </c>
      <c r="E77" s="79" t="s">
        <v>978</v>
      </c>
      <c r="F77" s="52"/>
      <c r="G77" s="52"/>
      <c r="H77" s="52"/>
      <c r="I77" s="52"/>
      <c r="J77" s="52"/>
      <c r="K77" s="50"/>
      <c r="L77" s="50"/>
      <c r="M77" s="50"/>
      <c r="N77" s="50"/>
      <c r="O77" s="50"/>
      <c r="P77" s="51" t="s">
        <v>7</v>
      </c>
      <c r="Q77" s="3"/>
      <c r="R77" s="3" t="s">
        <v>152</v>
      </c>
      <c r="S77" s="3" t="s">
        <v>979</v>
      </c>
      <c r="Y77" s="75">
        <f t="shared" si="0"/>
        <v>1</v>
      </c>
    </row>
    <row r="78" spans="1:25" ht="14.4">
      <c r="A78" s="3">
        <v>5</v>
      </c>
      <c r="B78" s="72" t="s">
        <v>980</v>
      </c>
      <c r="C78" s="73">
        <v>2009</v>
      </c>
      <c r="D78" s="72" t="s">
        <v>981</v>
      </c>
      <c r="E78" s="78" t="s">
        <v>982</v>
      </c>
      <c r="J78" s="3" t="s">
        <v>7</v>
      </c>
      <c r="Q78" s="3"/>
      <c r="R78" s="3" t="s">
        <v>152</v>
      </c>
      <c r="Y78" s="75">
        <f t="shared" si="0"/>
        <v>1</v>
      </c>
    </row>
    <row r="79" spans="1:25" ht="14.4">
      <c r="A79" s="3">
        <v>5</v>
      </c>
      <c r="B79" s="72" t="s">
        <v>983</v>
      </c>
      <c r="C79" s="73">
        <v>2002</v>
      </c>
      <c r="D79" s="72" t="s">
        <v>984</v>
      </c>
      <c r="E79" s="76" t="s">
        <v>985</v>
      </c>
      <c r="J79" s="3" t="s">
        <v>7</v>
      </c>
      <c r="Q79" s="3"/>
      <c r="R79" s="3" t="s">
        <v>152</v>
      </c>
      <c r="Y79" s="75">
        <f t="shared" si="0"/>
        <v>1</v>
      </c>
    </row>
    <row r="80" spans="1:25" ht="14.4">
      <c r="A80" s="3">
        <v>5</v>
      </c>
      <c r="B80" s="72" t="s">
        <v>986</v>
      </c>
      <c r="C80" s="73">
        <v>2013</v>
      </c>
      <c r="D80" s="72" t="s">
        <v>987</v>
      </c>
      <c r="E80" s="76" t="s">
        <v>988</v>
      </c>
      <c r="F80" s="53" t="s">
        <v>7</v>
      </c>
      <c r="G80" s="52"/>
      <c r="H80" s="52"/>
      <c r="I80" s="52"/>
      <c r="J80" s="52"/>
      <c r="K80" s="50"/>
      <c r="L80" s="50"/>
      <c r="M80" s="50"/>
      <c r="N80" s="50"/>
      <c r="O80" s="50"/>
      <c r="P80" s="50"/>
      <c r="Q80" s="3"/>
      <c r="R80" s="3" t="s">
        <v>152</v>
      </c>
      <c r="Y80" s="75">
        <f t="shared" si="0"/>
        <v>1</v>
      </c>
    </row>
    <row r="81" spans="1:25" ht="14.4">
      <c r="A81" s="3">
        <v>5</v>
      </c>
      <c r="B81" s="72" t="s">
        <v>989</v>
      </c>
      <c r="C81" s="73">
        <v>2008</v>
      </c>
      <c r="D81" s="72" t="s">
        <v>990</v>
      </c>
      <c r="E81" s="90" t="s">
        <v>991</v>
      </c>
      <c r="J81" s="3" t="s">
        <v>7</v>
      </c>
      <c r="Q81" s="3"/>
      <c r="R81" s="3" t="s">
        <v>152</v>
      </c>
      <c r="Y81" s="75">
        <f t="shared" si="0"/>
        <v>1</v>
      </c>
    </row>
    <row r="82" spans="1:25" ht="14.4">
      <c r="A82" s="3">
        <v>5</v>
      </c>
      <c r="B82" s="72" t="s">
        <v>992</v>
      </c>
      <c r="C82" s="73">
        <v>2012</v>
      </c>
      <c r="D82" s="72" t="s">
        <v>993</v>
      </c>
      <c r="E82" s="76" t="s">
        <v>994</v>
      </c>
      <c r="F82" s="53" t="s">
        <v>7</v>
      </c>
      <c r="G82" s="52"/>
      <c r="H82" s="52"/>
      <c r="I82" s="52"/>
      <c r="J82" s="52"/>
      <c r="K82" s="50"/>
      <c r="L82" s="50"/>
      <c r="M82" s="50"/>
      <c r="N82" s="50"/>
      <c r="O82" s="50"/>
      <c r="P82" s="50"/>
      <c r="Q82" s="3"/>
      <c r="R82" s="3" t="s">
        <v>152</v>
      </c>
      <c r="Y82" s="75">
        <f t="shared" si="0"/>
        <v>1</v>
      </c>
    </row>
    <row r="83" spans="1:25" ht="14.4">
      <c r="A83" s="3">
        <v>5</v>
      </c>
      <c r="B83" s="72" t="s">
        <v>995</v>
      </c>
      <c r="C83" s="73">
        <v>2014</v>
      </c>
      <c r="D83" s="72" t="s">
        <v>996</v>
      </c>
      <c r="E83" s="78" t="s">
        <v>997</v>
      </c>
      <c r="F83" s="53" t="s">
        <v>7</v>
      </c>
      <c r="G83" s="52"/>
      <c r="H83" s="52"/>
      <c r="I83" s="52"/>
      <c r="J83" s="52"/>
      <c r="K83" s="50"/>
      <c r="L83" s="50"/>
      <c r="M83" s="50"/>
      <c r="N83" s="50"/>
      <c r="O83" s="50"/>
      <c r="P83" s="50"/>
      <c r="Q83" s="3"/>
      <c r="R83" s="3" t="s">
        <v>152</v>
      </c>
      <c r="Y83" s="75">
        <f t="shared" si="0"/>
        <v>1</v>
      </c>
    </row>
    <row r="84" spans="1:25" ht="14.4">
      <c r="A84" s="3">
        <v>5</v>
      </c>
      <c r="B84" s="72" t="s">
        <v>998</v>
      </c>
      <c r="C84" s="73">
        <v>2009</v>
      </c>
      <c r="D84" s="72" t="s">
        <v>999</v>
      </c>
      <c r="E84" s="85" t="s">
        <v>1000</v>
      </c>
      <c r="J84" s="3" t="s">
        <v>7</v>
      </c>
      <c r="Q84" s="3"/>
      <c r="R84" s="3" t="s">
        <v>152</v>
      </c>
      <c r="Y84" s="75">
        <f t="shared" si="0"/>
        <v>1</v>
      </c>
    </row>
    <row r="85" spans="1:25" ht="14.4">
      <c r="A85" s="3">
        <v>5</v>
      </c>
      <c r="B85" s="72" t="s">
        <v>1001</v>
      </c>
      <c r="C85" s="73">
        <v>2012</v>
      </c>
      <c r="D85" s="72" t="s">
        <v>1002</v>
      </c>
      <c r="E85" s="81" t="s">
        <v>1003</v>
      </c>
      <c r="F85" s="53" t="s">
        <v>7</v>
      </c>
      <c r="G85" s="52"/>
      <c r="H85" s="52"/>
      <c r="I85" s="52"/>
      <c r="J85" s="52"/>
      <c r="K85" s="50"/>
      <c r="L85" s="50"/>
      <c r="M85" s="50"/>
      <c r="N85" s="50"/>
      <c r="O85" s="50"/>
      <c r="P85" s="50"/>
      <c r="Q85" s="3"/>
      <c r="R85" s="3" t="s">
        <v>152</v>
      </c>
      <c r="Y85" s="75">
        <f t="shared" si="0"/>
        <v>1</v>
      </c>
    </row>
    <row r="86" spans="1:25" ht="14.4">
      <c r="A86" s="3">
        <v>5</v>
      </c>
      <c r="B86" s="72" t="s">
        <v>105</v>
      </c>
      <c r="C86" s="73">
        <v>2011</v>
      </c>
      <c r="D86" s="72" t="s">
        <v>106</v>
      </c>
      <c r="E86" s="81" t="s">
        <v>107</v>
      </c>
      <c r="F86" s="52"/>
      <c r="G86" s="52"/>
      <c r="H86" s="52"/>
      <c r="I86" s="52"/>
      <c r="J86" s="52"/>
      <c r="K86" s="50"/>
      <c r="L86" s="50"/>
      <c r="M86" s="50"/>
      <c r="N86" s="50"/>
      <c r="O86" s="50"/>
      <c r="P86" s="50"/>
      <c r="Q86" s="3"/>
      <c r="R86" s="3" t="s">
        <v>176</v>
      </c>
      <c r="S86" s="3" t="s">
        <v>108</v>
      </c>
      <c r="Y86" s="75">
        <f t="shared" si="0"/>
        <v>1</v>
      </c>
    </row>
    <row r="87" spans="1:25" ht="14.4">
      <c r="A87" s="3">
        <v>5</v>
      </c>
      <c r="B87" s="72" t="s">
        <v>1004</v>
      </c>
      <c r="C87" s="73">
        <v>2016</v>
      </c>
      <c r="D87" s="72" t="s">
        <v>1005</v>
      </c>
      <c r="E87" s="74" t="s">
        <v>1006</v>
      </c>
      <c r="F87" s="53" t="s">
        <v>7</v>
      </c>
      <c r="G87" s="52"/>
      <c r="H87" s="52"/>
      <c r="I87" s="52"/>
      <c r="J87" s="52"/>
      <c r="K87" s="50"/>
      <c r="L87" s="50"/>
      <c r="M87" s="50"/>
      <c r="N87" s="50"/>
      <c r="O87" s="50"/>
      <c r="P87" s="50"/>
      <c r="Q87" s="3"/>
      <c r="R87" s="3" t="s">
        <v>152</v>
      </c>
      <c r="Y87" s="75">
        <f t="shared" si="0"/>
        <v>1</v>
      </c>
    </row>
    <row r="88" spans="1:25" ht="14.4">
      <c r="A88" s="3">
        <v>5</v>
      </c>
      <c r="B88" s="72" t="s">
        <v>1007</v>
      </c>
      <c r="C88" s="73">
        <v>2010</v>
      </c>
      <c r="D88" s="72" t="s">
        <v>1008</v>
      </c>
      <c r="E88" s="81" t="s">
        <v>1009</v>
      </c>
      <c r="J88" s="3" t="s">
        <v>7</v>
      </c>
      <c r="Q88" s="3"/>
      <c r="R88" s="3" t="s">
        <v>152</v>
      </c>
      <c r="Y88" s="75">
        <f t="shared" si="0"/>
        <v>1</v>
      </c>
    </row>
    <row r="89" spans="1:25" ht="14.4">
      <c r="A89" s="3">
        <v>5</v>
      </c>
      <c r="B89" s="72" t="s">
        <v>1010</v>
      </c>
      <c r="C89" s="73">
        <v>2013</v>
      </c>
      <c r="D89" s="72" t="s">
        <v>1011</v>
      </c>
      <c r="E89" s="76" t="s">
        <v>1012</v>
      </c>
      <c r="F89" s="53" t="s">
        <v>7</v>
      </c>
      <c r="G89" s="52"/>
      <c r="H89" s="52"/>
      <c r="I89" s="52"/>
      <c r="J89" s="52"/>
      <c r="K89" s="50"/>
      <c r="L89" s="50"/>
      <c r="M89" s="50"/>
      <c r="N89" s="50"/>
      <c r="O89" s="50"/>
      <c r="P89" s="50"/>
      <c r="Q89" s="3"/>
      <c r="R89" s="3" t="s">
        <v>152</v>
      </c>
      <c r="Y89" s="75">
        <f t="shared" si="0"/>
        <v>1</v>
      </c>
    </row>
    <row r="90" spans="1:25" ht="14.4">
      <c r="A90" s="3">
        <v>7</v>
      </c>
      <c r="B90" s="72" t="s">
        <v>1013</v>
      </c>
      <c r="C90" s="73">
        <v>1990</v>
      </c>
      <c r="D90" s="72" t="s">
        <v>1014</v>
      </c>
      <c r="E90" s="74" t="s">
        <v>1015</v>
      </c>
      <c r="J90" s="3" t="s">
        <v>7</v>
      </c>
      <c r="Q90" s="3"/>
      <c r="R90" s="3" t="s">
        <v>152</v>
      </c>
      <c r="Y90" s="75">
        <f t="shared" si="0"/>
        <v>1</v>
      </c>
    </row>
    <row r="91" spans="1:25" ht="14.4">
      <c r="A91" s="3">
        <v>7</v>
      </c>
      <c r="B91" s="72" t="s">
        <v>109</v>
      </c>
      <c r="C91" s="73">
        <v>2016</v>
      </c>
      <c r="D91" s="72" t="s">
        <v>110</v>
      </c>
      <c r="E91" s="81" t="s">
        <v>111</v>
      </c>
      <c r="F91" s="52"/>
      <c r="G91" s="52"/>
      <c r="H91" s="52"/>
      <c r="I91" s="52"/>
      <c r="J91" s="52"/>
      <c r="K91" s="50"/>
      <c r="L91" s="50"/>
      <c r="M91" s="50"/>
      <c r="N91" s="50"/>
      <c r="O91" s="50"/>
      <c r="P91" s="50"/>
      <c r="R91" s="3" t="s">
        <v>176</v>
      </c>
      <c r="S91" s="3" t="s">
        <v>112</v>
      </c>
      <c r="Y91" s="75">
        <f t="shared" si="0"/>
        <v>1</v>
      </c>
    </row>
    <row r="92" spans="1:25" ht="14.4">
      <c r="A92" s="3">
        <v>7</v>
      </c>
      <c r="B92" s="72" t="s">
        <v>1016</v>
      </c>
      <c r="C92" s="73">
        <v>2012</v>
      </c>
      <c r="D92" s="72" t="s">
        <v>1017</v>
      </c>
      <c r="E92" s="78" t="s">
        <v>1018</v>
      </c>
      <c r="F92" s="53" t="s">
        <v>7</v>
      </c>
      <c r="G92" s="52"/>
      <c r="H92" s="52"/>
      <c r="I92" s="52"/>
      <c r="J92" s="52"/>
      <c r="K92" s="50"/>
      <c r="L92" s="50"/>
      <c r="M92" s="50"/>
      <c r="N92" s="50"/>
      <c r="O92" s="50"/>
      <c r="P92" s="50"/>
      <c r="R92" s="3" t="s">
        <v>152</v>
      </c>
      <c r="Y92" s="75">
        <f t="shared" si="0"/>
        <v>1</v>
      </c>
    </row>
    <row r="93" spans="1:25" ht="14.4">
      <c r="A93" s="3">
        <v>7</v>
      </c>
      <c r="B93" s="72" t="s">
        <v>1019</v>
      </c>
      <c r="C93" s="73">
        <v>2010</v>
      </c>
      <c r="D93" s="72" t="s">
        <v>1020</v>
      </c>
      <c r="E93" s="76" t="s">
        <v>1021</v>
      </c>
      <c r="J93" s="3" t="s">
        <v>7</v>
      </c>
      <c r="Q93" s="3"/>
      <c r="R93" s="3" t="s">
        <v>152</v>
      </c>
      <c r="Y93" s="75">
        <f t="shared" si="0"/>
        <v>1</v>
      </c>
    </row>
    <row r="94" spans="1:25" ht="14.4">
      <c r="A94" s="3">
        <v>7</v>
      </c>
      <c r="B94" s="72" t="s">
        <v>1022</v>
      </c>
      <c r="C94" s="73">
        <v>2015</v>
      </c>
      <c r="D94" s="72" t="s">
        <v>1023</v>
      </c>
      <c r="E94" s="76" t="s">
        <v>1024</v>
      </c>
      <c r="F94" s="52"/>
      <c r="G94" s="52"/>
      <c r="H94" s="52"/>
      <c r="I94" s="52"/>
      <c r="J94" s="52"/>
      <c r="K94" s="50"/>
      <c r="L94" s="50"/>
      <c r="M94" s="50"/>
      <c r="N94" s="50"/>
      <c r="O94" s="50"/>
      <c r="P94" s="50"/>
      <c r="R94" s="3" t="s">
        <v>152</v>
      </c>
      <c r="Y94" s="75">
        <f t="shared" si="0"/>
        <v>1</v>
      </c>
    </row>
    <row r="95" spans="1:25" ht="14.4">
      <c r="A95" s="3">
        <v>7</v>
      </c>
      <c r="B95" s="72" t="s">
        <v>1025</v>
      </c>
      <c r="C95" s="73">
        <v>2011</v>
      </c>
      <c r="D95" s="72" t="s">
        <v>1026</v>
      </c>
      <c r="E95" s="78" t="s">
        <v>1027</v>
      </c>
      <c r="F95" s="53" t="s">
        <v>7</v>
      </c>
      <c r="G95" s="52"/>
      <c r="H95" s="52"/>
      <c r="I95" s="52"/>
      <c r="J95" s="52"/>
      <c r="K95" s="50"/>
      <c r="L95" s="50"/>
      <c r="M95" s="50"/>
      <c r="N95" s="50"/>
      <c r="O95" s="50"/>
      <c r="P95" s="50"/>
      <c r="R95" s="75" t="str">
        <f t="shared" ref="R95:R96" si="1">IF(AND(F95&lt;&gt;"x",G95&lt;&gt;"x",H95&lt;&gt;"x",I95&lt;&gt;"x",J95&lt;&gt;"x",K95&lt;&gt;"x",L95&lt;&gt;"x",M95&lt;&gt;"x",N95&lt;&gt;"x",O95&lt;&gt;"x",P95&lt;&gt;"x", Q95&lt;&gt;"x"),"Yes","No")</f>
        <v>No</v>
      </c>
      <c r="Y95" s="75">
        <f t="shared" si="0"/>
        <v>1</v>
      </c>
    </row>
    <row r="96" spans="1:25" ht="14.4">
      <c r="A96" s="3">
        <v>7</v>
      </c>
      <c r="B96" s="72" t="s">
        <v>1028</v>
      </c>
      <c r="C96" s="73">
        <v>2012</v>
      </c>
      <c r="D96" s="72" t="s">
        <v>1029</v>
      </c>
      <c r="E96" s="74" t="s">
        <v>1030</v>
      </c>
      <c r="F96" s="53" t="s">
        <v>7</v>
      </c>
      <c r="G96" s="52"/>
      <c r="H96" s="52"/>
      <c r="I96" s="52"/>
      <c r="J96" s="52"/>
      <c r="K96" s="50"/>
      <c r="L96" s="50"/>
      <c r="M96" s="50"/>
      <c r="N96" s="50"/>
      <c r="O96" s="50"/>
      <c r="P96" s="50"/>
      <c r="R96" s="75" t="str">
        <f t="shared" si="1"/>
        <v>No</v>
      </c>
      <c r="Y96" s="75">
        <f t="shared" si="0"/>
        <v>1</v>
      </c>
    </row>
    <row r="97" spans="1:25" ht="14.4">
      <c r="A97" s="3">
        <v>7</v>
      </c>
      <c r="B97" s="72" t="s">
        <v>1031</v>
      </c>
      <c r="C97" s="73">
        <v>2005</v>
      </c>
      <c r="D97" s="72" t="s">
        <v>1032</v>
      </c>
      <c r="E97" s="81" t="s">
        <v>1033</v>
      </c>
      <c r="J97" s="3" t="s">
        <v>7</v>
      </c>
      <c r="Q97" s="3"/>
      <c r="R97" s="3" t="s">
        <v>152</v>
      </c>
      <c r="Y97" s="75">
        <f t="shared" si="0"/>
        <v>1</v>
      </c>
    </row>
    <row r="98" spans="1:25" ht="14.4">
      <c r="A98" s="3">
        <v>7</v>
      </c>
      <c r="B98" s="72" t="s">
        <v>1034</v>
      </c>
      <c r="C98" s="73">
        <v>2005</v>
      </c>
      <c r="D98" s="72" t="s">
        <v>1035</v>
      </c>
      <c r="E98" s="78" t="s">
        <v>1036</v>
      </c>
      <c r="J98" s="3" t="s">
        <v>7</v>
      </c>
      <c r="Q98" s="3"/>
      <c r="R98" s="3" t="s">
        <v>152</v>
      </c>
      <c r="Y98" s="75">
        <f t="shared" si="0"/>
        <v>1</v>
      </c>
    </row>
    <row r="99" spans="1:25" ht="14.4">
      <c r="A99" s="3">
        <v>7</v>
      </c>
      <c r="B99" s="72" t="s">
        <v>1037</v>
      </c>
      <c r="C99" s="73">
        <v>2005</v>
      </c>
      <c r="D99" s="72" t="s">
        <v>1038</v>
      </c>
      <c r="E99" s="76" t="s">
        <v>1039</v>
      </c>
      <c r="J99" s="3" t="s">
        <v>7</v>
      </c>
      <c r="Q99" s="3"/>
      <c r="R99" s="3" t="s">
        <v>152</v>
      </c>
      <c r="Y99" s="75">
        <f t="shared" si="0"/>
        <v>1</v>
      </c>
    </row>
    <row r="100" spans="1:25" ht="14.4">
      <c r="A100" s="3">
        <v>7</v>
      </c>
      <c r="B100" s="72" t="s">
        <v>1040</v>
      </c>
      <c r="C100" s="73">
        <v>2008</v>
      </c>
      <c r="D100" s="72" t="s">
        <v>1041</v>
      </c>
      <c r="E100" s="78" t="s">
        <v>1042</v>
      </c>
      <c r="J100" s="3" t="s">
        <v>7</v>
      </c>
      <c r="Q100" s="3"/>
      <c r="R100" s="3" t="s">
        <v>152</v>
      </c>
      <c r="Y100" s="75">
        <f t="shared" si="0"/>
        <v>1</v>
      </c>
    </row>
    <row r="101" spans="1:25" ht="14.4">
      <c r="A101" s="3">
        <v>7</v>
      </c>
      <c r="B101" s="72" t="s">
        <v>1043</v>
      </c>
      <c r="C101" s="73">
        <v>2008</v>
      </c>
      <c r="D101" s="72" t="s">
        <v>1044</v>
      </c>
      <c r="E101" s="76" t="s">
        <v>1045</v>
      </c>
      <c r="J101" s="3" t="s">
        <v>7</v>
      </c>
      <c r="Q101" s="3"/>
      <c r="R101" s="3" t="s">
        <v>152</v>
      </c>
      <c r="Y101" s="75">
        <f t="shared" si="0"/>
        <v>1</v>
      </c>
    </row>
    <row r="102" spans="1:25" ht="14.4">
      <c r="A102" s="3">
        <v>7</v>
      </c>
      <c r="B102" s="72" t="s">
        <v>1046</v>
      </c>
      <c r="C102" s="73">
        <v>2001</v>
      </c>
      <c r="D102" s="72" t="s">
        <v>1047</v>
      </c>
      <c r="E102" s="78" t="s">
        <v>1048</v>
      </c>
      <c r="J102" s="3" t="s">
        <v>7</v>
      </c>
      <c r="Q102" s="3"/>
      <c r="R102" s="3" t="s">
        <v>152</v>
      </c>
      <c r="Y102" s="75">
        <f t="shared" si="0"/>
        <v>1</v>
      </c>
    </row>
    <row r="103" spans="1:25" ht="14.4">
      <c r="A103" s="3">
        <v>7</v>
      </c>
      <c r="B103" s="72" t="s">
        <v>1049</v>
      </c>
      <c r="C103" s="73">
        <v>1992</v>
      </c>
      <c r="D103" s="72" t="s">
        <v>1050</v>
      </c>
      <c r="E103" s="90" t="s">
        <v>1051</v>
      </c>
      <c r="J103" s="3" t="s">
        <v>7</v>
      </c>
      <c r="Q103" s="3"/>
      <c r="R103" s="3" t="s">
        <v>152</v>
      </c>
      <c r="Y103" s="75">
        <f t="shared" si="0"/>
        <v>1</v>
      </c>
    </row>
    <row r="104" spans="1:25" ht="14.4">
      <c r="A104" s="3">
        <v>7</v>
      </c>
      <c r="B104" s="72" t="s">
        <v>1052</v>
      </c>
      <c r="C104" s="73">
        <v>2004</v>
      </c>
      <c r="D104" s="72" t="s">
        <v>1053</v>
      </c>
      <c r="E104" s="85" t="s">
        <v>1054</v>
      </c>
      <c r="J104" s="3" t="s">
        <v>7</v>
      </c>
      <c r="Q104" s="3"/>
      <c r="R104" s="3" t="s">
        <v>152</v>
      </c>
      <c r="Y104" s="75">
        <f t="shared" si="0"/>
        <v>1</v>
      </c>
    </row>
    <row r="105" spans="1:25" ht="14.4">
      <c r="A105" s="65">
        <v>45603</v>
      </c>
      <c r="B105" s="72" t="s">
        <v>1055</v>
      </c>
      <c r="C105" s="73">
        <v>2009</v>
      </c>
      <c r="D105" s="72" t="s">
        <v>1056</v>
      </c>
      <c r="E105" s="85" t="s">
        <v>1057</v>
      </c>
      <c r="J105" s="3" t="s">
        <v>7</v>
      </c>
      <c r="Q105" s="3"/>
      <c r="R105" s="3" t="s">
        <v>152</v>
      </c>
      <c r="Y105" s="75">
        <f t="shared" si="0"/>
        <v>1</v>
      </c>
    </row>
    <row r="106" spans="1:25" ht="14.4">
      <c r="A106" s="3">
        <v>7</v>
      </c>
      <c r="B106" s="72" t="s">
        <v>1058</v>
      </c>
      <c r="C106" s="73">
        <v>2014</v>
      </c>
      <c r="D106" s="72" t="s">
        <v>1059</v>
      </c>
      <c r="E106" s="86" t="s">
        <v>1060</v>
      </c>
      <c r="F106" s="53" t="s">
        <v>7</v>
      </c>
      <c r="G106" s="52"/>
      <c r="H106" s="52"/>
      <c r="I106" s="52"/>
      <c r="J106" s="52"/>
      <c r="K106" s="50"/>
      <c r="L106" s="50"/>
      <c r="M106" s="50"/>
      <c r="N106" s="50"/>
      <c r="O106" s="50"/>
      <c r="P106" s="50"/>
      <c r="R106" s="75" t="str">
        <f>IF(AND(F106&lt;&gt;"x",G106&lt;&gt;"x",H106&lt;&gt;"x",I106&lt;&gt;"x",J106&lt;&gt;"x",K106&lt;&gt;"x",L106&lt;&gt;"x",M106&lt;&gt;"x",N106&lt;&gt;"x",O106&lt;&gt;"x",P106&lt;&gt;"x", Q106&lt;&gt;"x"),"Yes","No")</f>
        <v>No</v>
      </c>
      <c r="Y106" s="75">
        <f t="shared" si="0"/>
        <v>1</v>
      </c>
    </row>
    <row r="107" spans="1:25" ht="14.4">
      <c r="A107" s="3">
        <v>7</v>
      </c>
      <c r="B107" s="72" t="s">
        <v>1061</v>
      </c>
      <c r="C107" s="73">
        <v>2009</v>
      </c>
      <c r="D107" s="72" t="s">
        <v>1062</v>
      </c>
      <c r="E107" s="86" t="s">
        <v>1063</v>
      </c>
      <c r="J107" s="3" t="s">
        <v>7</v>
      </c>
      <c r="Q107" s="3"/>
      <c r="R107" s="3" t="s">
        <v>152</v>
      </c>
      <c r="Y107" s="75">
        <f t="shared" si="0"/>
        <v>1</v>
      </c>
    </row>
    <row r="108" spans="1:25" ht="14.4">
      <c r="A108" s="3">
        <v>7</v>
      </c>
      <c r="B108" s="72" t="s">
        <v>1064</v>
      </c>
      <c r="C108" s="73">
        <v>2004</v>
      </c>
      <c r="D108" s="72" t="s">
        <v>1065</v>
      </c>
      <c r="E108" s="86" t="s">
        <v>1066</v>
      </c>
      <c r="J108" s="3" t="s">
        <v>7</v>
      </c>
      <c r="Q108" s="3"/>
      <c r="R108" s="3" t="s">
        <v>152</v>
      </c>
      <c r="Y108" s="75">
        <f t="shared" si="0"/>
        <v>1</v>
      </c>
    </row>
    <row r="109" spans="1:25" ht="14.4">
      <c r="A109" s="3">
        <v>7</v>
      </c>
      <c r="B109" s="72" t="s">
        <v>1067</v>
      </c>
      <c r="C109" s="73">
        <v>2012</v>
      </c>
      <c r="D109" s="72" t="s">
        <v>1068</v>
      </c>
      <c r="E109" s="90" t="s">
        <v>1069</v>
      </c>
      <c r="F109" s="53" t="s">
        <v>7</v>
      </c>
      <c r="G109" s="52"/>
      <c r="H109" s="52"/>
      <c r="I109" s="52"/>
      <c r="J109" s="52"/>
      <c r="K109" s="50"/>
      <c r="L109" s="50"/>
      <c r="M109" s="50"/>
      <c r="N109" s="51" t="s">
        <v>7</v>
      </c>
      <c r="O109" s="50"/>
      <c r="P109" s="50"/>
      <c r="R109" s="75" t="str">
        <f>IF(AND(F109&lt;&gt;"x",G109&lt;&gt;"x",H109&lt;&gt;"x",I109&lt;&gt;"x",J109&lt;&gt;"x",K109&lt;&gt;"x",L109&lt;&gt;"x",M109&lt;&gt;"x",N109&lt;&gt;"x",O109&lt;&gt;"x",P109&lt;&gt;"x", Q109&lt;&gt;"x"),"Yes","No")</f>
        <v>No</v>
      </c>
      <c r="Y109" s="75">
        <f t="shared" si="0"/>
        <v>1</v>
      </c>
    </row>
    <row r="110" spans="1:25" ht="14.4">
      <c r="A110" s="3">
        <v>7</v>
      </c>
      <c r="B110" s="72" t="s">
        <v>1070</v>
      </c>
      <c r="C110" s="73">
        <v>2009</v>
      </c>
      <c r="D110" s="72" t="s">
        <v>1071</v>
      </c>
      <c r="E110" s="85" t="s">
        <v>1072</v>
      </c>
      <c r="J110" s="3" t="s">
        <v>7</v>
      </c>
      <c r="Q110" s="3"/>
      <c r="R110" s="3" t="s">
        <v>152</v>
      </c>
      <c r="Y110" s="75">
        <f t="shared" si="0"/>
        <v>1</v>
      </c>
    </row>
    <row r="111" spans="1:25" ht="14.4">
      <c r="A111" s="3">
        <v>7</v>
      </c>
      <c r="B111" s="72" t="s">
        <v>1073</v>
      </c>
      <c r="C111" s="73">
        <v>1996</v>
      </c>
      <c r="D111" s="72" t="s">
        <v>1074</v>
      </c>
      <c r="E111" s="91" t="s">
        <v>1075</v>
      </c>
      <c r="J111" s="3" t="s">
        <v>7</v>
      </c>
      <c r="Q111" s="3"/>
      <c r="R111" s="3" t="s">
        <v>152</v>
      </c>
      <c r="Y111" s="75">
        <f t="shared" si="0"/>
        <v>1</v>
      </c>
    </row>
    <row r="112" spans="1:25" ht="15.6">
      <c r="A112" s="3">
        <v>7</v>
      </c>
      <c r="B112" s="72" t="s">
        <v>1073</v>
      </c>
      <c r="C112" s="73">
        <v>1998</v>
      </c>
      <c r="D112" s="72" t="s">
        <v>1074</v>
      </c>
      <c r="E112" s="92" t="s">
        <v>1076</v>
      </c>
      <c r="I112" s="93"/>
      <c r="J112" s="3" t="s">
        <v>7</v>
      </c>
      <c r="Q112" s="3"/>
      <c r="R112" s="3" t="s">
        <v>152</v>
      </c>
      <c r="Y112" s="75">
        <f t="shared" si="0"/>
        <v>1</v>
      </c>
    </row>
    <row r="113" spans="1:25" ht="14.4">
      <c r="A113" s="3">
        <v>8</v>
      </c>
      <c r="B113" s="72" t="s">
        <v>1077</v>
      </c>
      <c r="C113" s="73">
        <v>2013</v>
      </c>
      <c r="D113" s="72" t="s">
        <v>1078</v>
      </c>
      <c r="E113" s="78" t="s">
        <v>1079</v>
      </c>
      <c r="F113" s="52"/>
      <c r="G113" s="53" t="s">
        <v>7</v>
      </c>
      <c r="H113" s="52"/>
      <c r="I113" s="52"/>
      <c r="J113" s="52"/>
      <c r="K113" s="50"/>
      <c r="L113" s="50"/>
      <c r="M113" s="50"/>
      <c r="N113" s="50"/>
      <c r="O113" s="50"/>
      <c r="P113" s="50"/>
      <c r="R113" s="75" t="str">
        <f>IF(AND(F113&lt;&gt;"x",G113&lt;&gt;"x",H113&lt;&gt;"x",I113&lt;&gt;"x",J113&lt;&gt;"x",K113&lt;&gt;"x",L113&lt;&gt;"x",M113&lt;&gt;"x",N113&lt;&gt;"x",O113&lt;&gt;"x",P113&lt;&gt;"x", Q113&lt;&gt;"x"),"Yes","No")</f>
        <v>No</v>
      </c>
      <c r="Y113" s="75">
        <f t="shared" si="0"/>
        <v>1</v>
      </c>
    </row>
    <row r="114" spans="1:25" ht="14.4">
      <c r="A114" s="3">
        <v>8</v>
      </c>
      <c r="B114" s="72" t="s">
        <v>1080</v>
      </c>
      <c r="C114" s="73">
        <v>2004</v>
      </c>
      <c r="D114" s="72" t="s">
        <v>1081</v>
      </c>
      <c r="E114" s="76" t="s">
        <v>1082</v>
      </c>
      <c r="J114" s="3" t="s">
        <v>7</v>
      </c>
      <c r="Q114" s="3"/>
      <c r="R114" s="3" t="s">
        <v>152</v>
      </c>
      <c r="Y114" s="75">
        <f t="shared" si="0"/>
        <v>1</v>
      </c>
    </row>
    <row r="115" spans="1:25" ht="14.4">
      <c r="A115" s="3">
        <v>8</v>
      </c>
      <c r="B115" s="72" t="s">
        <v>1083</v>
      </c>
      <c r="C115" s="73">
        <v>2013</v>
      </c>
      <c r="D115" s="72" t="s">
        <v>1084</v>
      </c>
      <c r="E115" s="78" t="s">
        <v>1085</v>
      </c>
      <c r="F115" s="52"/>
      <c r="G115" s="52"/>
      <c r="H115" s="53" t="s">
        <v>7</v>
      </c>
      <c r="I115" s="52"/>
      <c r="J115" s="52"/>
      <c r="K115" s="50"/>
      <c r="L115" s="50"/>
      <c r="M115" s="50"/>
      <c r="N115" s="50"/>
      <c r="O115" s="50"/>
      <c r="P115" s="50"/>
      <c r="R115" s="75" t="str">
        <f t="shared" ref="R115:R116" si="2">IF(AND(F115&lt;&gt;"x",G115&lt;&gt;"x",H115&lt;&gt;"x",I115&lt;&gt;"x",J115&lt;&gt;"x",K115&lt;&gt;"x",L115&lt;&gt;"x",M115&lt;&gt;"x",N115&lt;&gt;"x",O115&lt;&gt;"x",P115&lt;&gt;"x", Q115&lt;&gt;"x"),"Yes","No")</f>
        <v>No</v>
      </c>
      <c r="Y115" s="75">
        <f t="shared" si="0"/>
        <v>1</v>
      </c>
    </row>
    <row r="116" spans="1:25" ht="14.4">
      <c r="A116" s="3">
        <v>8</v>
      </c>
      <c r="B116" s="72" t="s">
        <v>1086</v>
      </c>
      <c r="C116" s="73">
        <v>2011</v>
      </c>
      <c r="D116" s="72" t="s">
        <v>1087</v>
      </c>
      <c r="E116" s="74" t="s">
        <v>1088</v>
      </c>
      <c r="F116" s="52"/>
      <c r="G116" s="52"/>
      <c r="H116" s="53" t="s">
        <v>7</v>
      </c>
      <c r="I116" s="52"/>
      <c r="J116" s="52"/>
      <c r="K116" s="50"/>
      <c r="L116" s="50"/>
      <c r="M116" s="50"/>
      <c r="N116" s="50"/>
      <c r="O116" s="50"/>
      <c r="P116" s="50"/>
      <c r="R116" s="75" t="str">
        <f t="shared" si="2"/>
        <v>No</v>
      </c>
      <c r="Y116" s="75">
        <f t="shared" si="0"/>
        <v>1</v>
      </c>
    </row>
    <row r="117" spans="1:25" ht="14.4">
      <c r="A117" s="3">
        <v>8</v>
      </c>
      <c r="B117" s="72" t="s">
        <v>1089</v>
      </c>
      <c r="C117" s="73">
        <v>2005</v>
      </c>
      <c r="D117" s="72" t="s">
        <v>1038</v>
      </c>
      <c r="E117" s="76" t="s">
        <v>1090</v>
      </c>
      <c r="J117" s="3" t="s">
        <v>7</v>
      </c>
      <c r="Q117" s="3"/>
      <c r="R117" s="3" t="s">
        <v>152</v>
      </c>
      <c r="Y117" s="75">
        <f t="shared" si="0"/>
        <v>1</v>
      </c>
    </row>
    <row r="118" spans="1:25" ht="14.4">
      <c r="A118" s="3" t="s">
        <v>116</v>
      </c>
      <c r="B118" s="72" t="s">
        <v>1091</v>
      </c>
      <c r="C118" s="73">
        <v>1997</v>
      </c>
      <c r="D118" s="72" t="s">
        <v>1092</v>
      </c>
      <c r="E118" s="76" t="s">
        <v>1093</v>
      </c>
      <c r="J118" s="3" t="s">
        <v>7</v>
      </c>
      <c r="Q118" s="3"/>
      <c r="R118" s="3" t="s">
        <v>152</v>
      </c>
      <c r="Y118" s="75">
        <f t="shared" si="0"/>
        <v>1</v>
      </c>
    </row>
    <row r="119" spans="1:25" ht="14.4">
      <c r="A119" s="3">
        <v>8</v>
      </c>
      <c r="B119" s="72" t="s">
        <v>1094</v>
      </c>
      <c r="C119" s="73">
        <v>2013</v>
      </c>
      <c r="D119" s="72" t="s">
        <v>1095</v>
      </c>
      <c r="E119" s="78" t="s">
        <v>1096</v>
      </c>
      <c r="F119" s="53" t="s">
        <v>7</v>
      </c>
      <c r="G119" s="52"/>
      <c r="H119" s="52"/>
      <c r="I119" s="52"/>
      <c r="J119" s="52"/>
      <c r="K119" s="50"/>
      <c r="L119" s="50"/>
      <c r="M119" s="50"/>
      <c r="N119" s="50"/>
      <c r="O119" s="50"/>
      <c r="P119" s="50"/>
      <c r="R119" s="75" t="str">
        <f t="shared" ref="R119:R122" si="3">IF(AND(F119&lt;&gt;"x",G119&lt;&gt;"x",H119&lt;&gt;"x",I119&lt;&gt;"x",J119&lt;&gt;"x",K119&lt;&gt;"x",L119&lt;&gt;"x",M119&lt;&gt;"x",N119&lt;&gt;"x",O119&lt;&gt;"x",P119&lt;&gt;"x", Q119&lt;&gt;"x"),"Yes","No")</f>
        <v>No</v>
      </c>
      <c r="Y119" s="75">
        <f t="shared" si="0"/>
        <v>1</v>
      </c>
    </row>
    <row r="120" spans="1:25" ht="14.4">
      <c r="A120" s="3">
        <v>8</v>
      </c>
      <c r="B120" s="72" t="s">
        <v>1097</v>
      </c>
      <c r="C120" s="73">
        <v>2013</v>
      </c>
      <c r="D120" s="72" t="s">
        <v>1098</v>
      </c>
      <c r="E120" s="81" t="s">
        <v>1099</v>
      </c>
      <c r="F120" s="52"/>
      <c r="G120" s="53" t="s">
        <v>7</v>
      </c>
      <c r="H120" s="52"/>
      <c r="I120" s="52"/>
      <c r="J120" s="52"/>
      <c r="K120" s="50"/>
      <c r="L120" s="50"/>
      <c r="M120" s="50"/>
      <c r="N120" s="50"/>
      <c r="O120" s="50"/>
      <c r="P120" s="50"/>
      <c r="R120" s="75" t="str">
        <f t="shared" si="3"/>
        <v>No</v>
      </c>
      <c r="Y120" s="75">
        <f t="shared" si="0"/>
        <v>1</v>
      </c>
    </row>
    <row r="121" spans="1:25" ht="14.4">
      <c r="A121" s="3" t="s">
        <v>1100</v>
      </c>
      <c r="B121" s="72" t="s">
        <v>113</v>
      </c>
      <c r="C121" s="73">
        <v>2012</v>
      </c>
      <c r="D121" s="72" t="s">
        <v>114</v>
      </c>
      <c r="E121" s="76" t="s">
        <v>115</v>
      </c>
      <c r="F121" s="52"/>
      <c r="G121" s="52"/>
      <c r="H121" s="52"/>
      <c r="I121" s="52"/>
      <c r="J121" s="52"/>
      <c r="K121" s="50"/>
      <c r="L121" s="50"/>
      <c r="M121" s="50"/>
      <c r="N121" s="50"/>
      <c r="O121" s="50"/>
      <c r="P121" s="50"/>
      <c r="R121" s="75" t="str">
        <f t="shared" si="3"/>
        <v>Yes</v>
      </c>
      <c r="S121" s="3" t="s">
        <v>117</v>
      </c>
      <c r="Y121" s="75">
        <f t="shared" si="0"/>
        <v>1</v>
      </c>
    </row>
    <row r="122" spans="1:25" ht="14.4">
      <c r="A122" s="3" t="s">
        <v>1100</v>
      </c>
      <c r="B122" s="72" t="s">
        <v>1101</v>
      </c>
      <c r="C122" s="73">
        <v>2012</v>
      </c>
      <c r="D122" s="72" t="s">
        <v>1102</v>
      </c>
      <c r="E122" s="76" t="s">
        <v>1103</v>
      </c>
      <c r="F122" s="53" t="s">
        <v>7</v>
      </c>
      <c r="G122" s="52"/>
      <c r="H122" s="52"/>
      <c r="I122" s="52"/>
      <c r="J122" s="52"/>
      <c r="K122" s="50"/>
      <c r="L122" s="50"/>
      <c r="M122" s="50"/>
      <c r="N122" s="50"/>
      <c r="O122" s="50"/>
      <c r="P122" s="50"/>
      <c r="R122" s="75" t="str">
        <f t="shared" si="3"/>
        <v>No</v>
      </c>
      <c r="S122" s="3" t="s">
        <v>1104</v>
      </c>
      <c r="Y122" s="75">
        <f t="shared" si="0"/>
        <v>1</v>
      </c>
    </row>
    <row r="123" spans="1:25" ht="14.4">
      <c r="A123" s="3">
        <v>8</v>
      </c>
      <c r="B123" s="72" t="s">
        <v>1105</v>
      </c>
      <c r="C123" s="73">
        <v>1998</v>
      </c>
      <c r="D123" s="72" t="s">
        <v>1106</v>
      </c>
      <c r="E123" s="81" t="s">
        <v>1107</v>
      </c>
      <c r="J123" s="3" t="s">
        <v>7</v>
      </c>
      <c r="Q123" s="3"/>
      <c r="R123" s="3" t="s">
        <v>152</v>
      </c>
      <c r="Y123" s="75">
        <f t="shared" si="0"/>
        <v>1</v>
      </c>
    </row>
    <row r="124" spans="1:25" ht="14.4">
      <c r="A124" s="3">
        <v>8</v>
      </c>
      <c r="B124" s="72" t="s">
        <v>1108</v>
      </c>
      <c r="C124" s="73">
        <v>2007</v>
      </c>
      <c r="D124" s="72" t="s">
        <v>1109</v>
      </c>
      <c r="E124" s="78" t="s">
        <v>1110</v>
      </c>
      <c r="J124" s="3" t="s">
        <v>7</v>
      </c>
      <c r="Q124" s="3"/>
      <c r="R124" s="3" t="s">
        <v>152</v>
      </c>
      <c r="Y124" s="75">
        <f t="shared" si="0"/>
        <v>1</v>
      </c>
    </row>
    <row r="125" spans="1:25" ht="14.4">
      <c r="A125" s="3">
        <v>8</v>
      </c>
      <c r="B125" s="72" t="s">
        <v>1111</v>
      </c>
      <c r="C125" s="73">
        <v>2008</v>
      </c>
      <c r="D125" s="72" t="s">
        <v>1112</v>
      </c>
      <c r="E125" s="81" t="s">
        <v>1113</v>
      </c>
      <c r="J125" s="3" t="s">
        <v>7</v>
      </c>
      <c r="Q125" s="3"/>
      <c r="R125" s="3" t="s">
        <v>152</v>
      </c>
      <c r="Y125" s="75">
        <f t="shared" si="0"/>
        <v>1</v>
      </c>
    </row>
    <row r="126" spans="1:25" ht="14.4">
      <c r="A126" s="3">
        <v>8</v>
      </c>
      <c r="B126" s="72" t="s">
        <v>1114</v>
      </c>
      <c r="C126" s="73">
        <v>2000</v>
      </c>
      <c r="D126" s="72" t="s">
        <v>1115</v>
      </c>
      <c r="E126" s="76" t="s">
        <v>1116</v>
      </c>
      <c r="J126" s="3" t="s">
        <v>7</v>
      </c>
      <c r="Q126" s="3"/>
      <c r="R126" s="3" t="s">
        <v>152</v>
      </c>
      <c r="Y126" s="75">
        <f t="shared" si="0"/>
        <v>1</v>
      </c>
    </row>
    <row r="127" spans="1:25" ht="14.4">
      <c r="A127" s="3">
        <v>8</v>
      </c>
      <c r="B127" s="72" t="s">
        <v>1117</v>
      </c>
      <c r="C127" s="73">
        <v>2002</v>
      </c>
      <c r="D127" s="72" t="s">
        <v>1118</v>
      </c>
      <c r="E127" s="74" t="s">
        <v>1119</v>
      </c>
      <c r="J127" s="3" t="s">
        <v>7</v>
      </c>
      <c r="Q127" s="3"/>
      <c r="R127" s="3" t="s">
        <v>152</v>
      </c>
      <c r="Y127" s="75">
        <f t="shared" si="0"/>
        <v>1</v>
      </c>
    </row>
    <row r="128" spans="1:25" ht="14.4">
      <c r="A128" s="3">
        <v>8</v>
      </c>
      <c r="B128" s="72" t="s">
        <v>1120</v>
      </c>
      <c r="C128" s="73">
        <v>2005</v>
      </c>
      <c r="D128" s="72" t="s">
        <v>1121</v>
      </c>
      <c r="E128" s="78" t="s">
        <v>1122</v>
      </c>
      <c r="J128" s="3" t="s">
        <v>7</v>
      </c>
      <c r="Q128" s="3"/>
      <c r="R128" s="3" t="s">
        <v>152</v>
      </c>
      <c r="Y128" s="75">
        <f t="shared" si="0"/>
        <v>1</v>
      </c>
    </row>
    <row r="129" spans="1:25" ht="14.4">
      <c r="A129" s="3">
        <v>9</v>
      </c>
      <c r="B129" s="72" t="s">
        <v>1123</v>
      </c>
      <c r="C129" s="73">
        <v>2020</v>
      </c>
      <c r="D129" s="72" t="s">
        <v>1124</v>
      </c>
      <c r="E129" s="88" t="s">
        <v>1125</v>
      </c>
      <c r="F129" s="52"/>
      <c r="G129" s="52"/>
      <c r="H129" s="52"/>
      <c r="I129" s="52"/>
      <c r="J129" s="52"/>
      <c r="K129" s="50"/>
      <c r="L129" s="50"/>
      <c r="M129" s="50"/>
      <c r="N129" s="50"/>
      <c r="O129" s="50"/>
      <c r="P129" s="50"/>
      <c r="Q129" s="3"/>
      <c r="R129" s="3" t="s">
        <v>152</v>
      </c>
      <c r="S129" s="3" t="s">
        <v>906</v>
      </c>
      <c r="Y129" s="75">
        <f t="shared" si="0"/>
        <v>1</v>
      </c>
    </row>
    <row r="130" spans="1:25" ht="15.6">
      <c r="A130" s="3">
        <v>9</v>
      </c>
      <c r="B130" s="72" t="s">
        <v>1126</v>
      </c>
      <c r="C130" s="73">
        <v>2016</v>
      </c>
      <c r="D130" s="72" t="s">
        <v>1127</v>
      </c>
      <c r="E130" s="93" t="s">
        <v>1128</v>
      </c>
      <c r="F130" s="53" t="s">
        <v>7</v>
      </c>
      <c r="G130" s="52"/>
      <c r="H130" s="52"/>
      <c r="I130" s="52"/>
      <c r="J130" s="52"/>
      <c r="K130" s="50"/>
      <c r="L130" s="50"/>
      <c r="M130" s="50"/>
      <c r="N130" s="50"/>
      <c r="O130" s="50"/>
      <c r="P130" s="50"/>
      <c r="R130" s="75" t="str">
        <f>IF(AND(F130&lt;&gt;"x",G130&lt;&gt;"x",H130&lt;&gt;"x",I130&lt;&gt;"x",J130&lt;&gt;"x",K130&lt;&gt;"x",L130&lt;&gt;"x",M130&lt;&gt;"x",N130&lt;&gt;"x",O130&lt;&gt;"x",P130&lt;&gt;"x", Q130&lt;&gt;"x"),"Yes","No")</f>
        <v>No</v>
      </c>
      <c r="Y130" s="75">
        <f t="shared" si="0"/>
        <v>1</v>
      </c>
    </row>
    <row r="131" spans="1:25" ht="14.4">
      <c r="A131" s="3">
        <v>9</v>
      </c>
      <c r="B131" s="72" t="s">
        <v>1129</v>
      </c>
      <c r="C131" s="73">
        <v>2009</v>
      </c>
      <c r="D131" s="72" t="s">
        <v>1130</v>
      </c>
      <c r="E131" s="85" t="s">
        <v>1131</v>
      </c>
      <c r="J131" s="3" t="s">
        <v>7</v>
      </c>
      <c r="Q131" s="3"/>
      <c r="R131" s="3" t="s">
        <v>152</v>
      </c>
      <c r="Y131" s="75">
        <f t="shared" si="0"/>
        <v>1</v>
      </c>
    </row>
    <row r="132" spans="1:25" ht="14.4">
      <c r="A132" s="3">
        <v>9</v>
      </c>
      <c r="B132" s="72" t="s">
        <v>1132</v>
      </c>
      <c r="C132" s="73">
        <v>2017</v>
      </c>
      <c r="D132" s="72" t="s">
        <v>1133</v>
      </c>
      <c r="E132" s="91" t="s">
        <v>1134</v>
      </c>
      <c r="F132" s="53" t="s">
        <v>7</v>
      </c>
      <c r="G132" s="52"/>
      <c r="H132" s="52"/>
      <c r="I132" s="52"/>
      <c r="J132" s="52"/>
      <c r="K132" s="50"/>
      <c r="L132" s="50"/>
      <c r="M132" s="50"/>
      <c r="N132" s="50"/>
      <c r="O132" s="50"/>
      <c r="P132" s="50"/>
      <c r="R132" s="75" t="str">
        <f t="shared" ref="R132:R133" si="4">IF(AND(F132&lt;&gt;"x",G132&lt;&gt;"x",H132&lt;&gt;"x",I132&lt;&gt;"x",J132&lt;&gt;"x",K132&lt;&gt;"x",L132&lt;&gt;"x",M132&lt;&gt;"x",N132&lt;&gt;"x",O132&lt;&gt;"x",P132&lt;&gt;"x", Q132&lt;&gt;"x"),"Yes","No")</f>
        <v>No</v>
      </c>
      <c r="Y132" s="75">
        <f t="shared" si="0"/>
        <v>1</v>
      </c>
    </row>
    <row r="133" spans="1:25" ht="14.4">
      <c r="A133" s="3">
        <v>9</v>
      </c>
      <c r="B133" s="72" t="s">
        <v>1135</v>
      </c>
      <c r="C133" s="73">
        <v>2018</v>
      </c>
      <c r="D133" s="72" t="s">
        <v>1136</v>
      </c>
      <c r="E133" s="94" t="s">
        <v>1137</v>
      </c>
      <c r="F133" s="53" t="s">
        <v>7</v>
      </c>
      <c r="G133" s="52"/>
      <c r="H133" s="52"/>
      <c r="I133" s="52"/>
      <c r="J133" s="52"/>
      <c r="K133" s="50"/>
      <c r="L133" s="50"/>
      <c r="M133" s="50"/>
      <c r="N133" s="50"/>
      <c r="O133" s="50"/>
      <c r="P133" s="50"/>
      <c r="R133" s="75" t="str">
        <f t="shared" si="4"/>
        <v>No</v>
      </c>
      <c r="Y133" s="75">
        <f t="shared" si="0"/>
        <v>1</v>
      </c>
    </row>
    <row r="134" spans="1:25" ht="14.4">
      <c r="A134" s="3">
        <v>9</v>
      </c>
      <c r="B134" s="72" t="s">
        <v>1138</v>
      </c>
      <c r="C134" s="73">
        <v>2010</v>
      </c>
      <c r="D134" s="72" t="s">
        <v>1139</v>
      </c>
      <c r="E134" s="85" t="s">
        <v>1140</v>
      </c>
      <c r="J134" s="3" t="s">
        <v>7</v>
      </c>
      <c r="Q134" s="3"/>
      <c r="R134" s="3" t="s">
        <v>152</v>
      </c>
      <c r="Y134" s="75">
        <f t="shared" si="0"/>
        <v>1</v>
      </c>
    </row>
    <row r="135" spans="1:25" ht="14.4">
      <c r="A135" s="3">
        <v>9</v>
      </c>
      <c r="B135" s="72" t="s">
        <v>1141</v>
      </c>
      <c r="C135" s="73">
        <v>2001</v>
      </c>
      <c r="D135" s="72" t="s">
        <v>1142</v>
      </c>
      <c r="E135" s="86" t="s">
        <v>1143</v>
      </c>
      <c r="J135" s="3" t="s">
        <v>7</v>
      </c>
      <c r="Q135" s="3"/>
      <c r="R135" s="3" t="s">
        <v>152</v>
      </c>
      <c r="Y135" s="75">
        <f t="shared" si="0"/>
        <v>1</v>
      </c>
    </row>
    <row r="136" spans="1:25" ht="14.4">
      <c r="A136" s="3">
        <v>9</v>
      </c>
      <c r="B136" s="72" t="s">
        <v>1144</v>
      </c>
      <c r="C136" s="73">
        <v>2020</v>
      </c>
      <c r="D136" s="72" t="s">
        <v>1145</v>
      </c>
      <c r="E136" s="74" t="s">
        <v>1146</v>
      </c>
      <c r="F136" s="52"/>
      <c r="G136" s="52"/>
      <c r="H136" s="52"/>
      <c r="I136" s="52"/>
      <c r="J136" s="52"/>
      <c r="K136" s="50"/>
      <c r="L136" s="50"/>
      <c r="M136" s="50"/>
      <c r="N136" s="50"/>
      <c r="O136" s="50"/>
      <c r="P136" s="50"/>
      <c r="Q136" s="3"/>
      <c r="R136" s="3" t="s">
        <v>152</v>
      </c>
      <c r="S136" s="3" t="s">
        <v>1147</v>
      </c>
      <c r="Y136" s="75">
        <f t="shared" si="0"/>
        <v>1</v>
      </c>
    </row>
    <row r="137" spans="1:25" ht="14.4">
      <c r="A137" s="3">
        <v>9</v>
      </c>
      <c r="B137" s="72" t="s">
        <v>1148</v>
      </c>
      <c r="C137" s="73">
        <v>2000</v>
      </c>
      <c r="D137" s="72" t="s">
        <v>1149</v>
      </c>
      <c r="E137" s="86" t="s">
        <v>1150</v>
      </c>
      <c r="J137" s="3" t="s">
        <v>7</v>
      </c>
      <c r="Q137" s="3"/>
      <c r="R137" s="3" t="s">
        <v>152</v>
      </c>
      <c r="Y137" s="75">
        <f t="shared" si="0"/>
        <v>1</v>
      </c>
    </row>
    <row r="138" spans="1:25" ht="14.4">
      <c r="A138" s="3">
        <v>9</v>
      </c>
      <c r="B138" s="72" t="s">
        <v>1151</v>
      </c>
      <c r="C138" s="73">
        <v>1999</v>
      </c>
      <c r="D138" s="72" t="s">
        <v>1152</v>
      </c>
      <c r="E138" s="86" t="s">
        <v>1153</v>
      </c>
      <c r="J138" s="3" t="s">
        <v>7</v>
      </c>
      <c r="Q138" s="3"/>
      <c r="R138" s="3" t="s">
        <v>152</v>
      </c>
      <c r="Y138" s="75">
        <f t="shared" si="0"/>
        <v>1</v>
      </c>
    </row>
    <row r="139" spans="1:25" ht="14.4">
      <c r="A139" s="3">
        <v>9</v>
      </c>
      <c r="B139" s="72" t="s">
        <v>1154</v>
      </c>
      <c r="C139" s="73">
        <v>2008</v>
      </c>
      <c r="D139" s="80"/>
      <c r="E139" s="91" t="s">
        <v>1155</v>
      </c>
      <c r="J139" s="3" t="s">
        <v>7</v>
      </c>
      <c r="Q139" s="3"/>
      <c r="R139" s="3" t="s">
        <v>152</v>
      </c>
      <c r="Y139" s="75">
        <f t="shared" si="0"/>
        <v>1</v>
      </c>
    </row>
    <row r="140" spans="1:25" ht="14.4">
      <c r="A140" s="3">
        <v>9</v>
      </c>
      <c r="B140" s="72" t="s">
        <v>1156</v>
      </c>
      <c r="C140" s="73">
        <v>2007</v>
      </c>
      <c r="D140" s="72" t="s">
        <v>1157</v>
      </c>
      <c r="E140" s="85" t="s">
        <v>1158</v>
      </c>
      <c r="J140" s="3" t="s">
        <v>7</v>
      </c>
      <c r="Q140" s="3"/>
      <c r="R140" s="3" t="s">
        <v>152</v>
      </c>
      <c r="Y140" s="75">
        <f t="shared" si="0"/>
        <v>1</v>
      </c>
    </row>
    <row r="141" spans="1:25" ht="15.6">
      <c r="A141" s="3">
        <v>9</v>
      </c>
      <c r="B141" s="72" t="s">
        <v>1159</v>
      </c>
      <c r="C141" s="73">
        <v>2011</v>
      </c>
      <c r="D141" s="72" t="s">
        <v>1157</v>
      </c>
      <c r="E141" s="95" t="s">
        <v>1160</v>
      </c>
      <c r="F141" s="53" t="s">
        <v>7</v>
      </c>
      <c r="G141" s="52"/>
      <c r="H141" s="52"/>
      <c r="I141" s="52"/>
      <c r="J141" s="52"/>
      <c r="K141" s="50"/>
      <c r="L141" s="50"/>
      <c r="M141" s="50"/>
      <c r="N141" s="50"/>
      <c r="O141" s="50"/>
      <c r="P141" s="50"/>
      <c r="R141" s="75" t="str">
        <f t="shared" ref="R141:R142" si="5">IF(AND(F141&lt;&gt;"x",G141&lt;&gt;"x",H141&lt;&gt;"x",I141&lt;&gt;"x",J141&lt;&gt;"x",K141&lt;&gt;"x",L141&lt;&gt;"x",M141&lt;&gt;"x",N141&lt;&gt;"x",O141&lt;&gt;"x",P141&lt;&gt;"x", Q141&lt;&gt;"x"),"Yes","No")</f>
        <v>No</v>
      </c>
      <c r="Y141" s="75">
        <f t="shared" si="0"/>
        <v>1</v>
      </c>
    </row>
    <row r="142" spans="1:25" ht="14.4">
      <c r="A142" s="3">
        <v>9</v>
      </c>
      <c r="B142" s="72" t="s">
        <v>1161</v>
      </c>
      <c r="C142" s="73">
        <v>2014</v>
      </c>
      <c r="D142" s="72" t="s">
        <v>1162</v>
      </c>
      <c r="E142" s="86" t="s">
        <v>1163</v>
      </c>
      <c r="F142" s="52"/>
      <c r="G142" s="52"/>
      <c r="H142" s="53" t="s">
        <v>7</v>
      </c>
      <c r="I142" s="52"/>
      <c r="J142" s="52"/>
      <c r="K142" s="50"/>
      <c r="L142" s="50"/>
      <c r="M142" s="50"/>
      <c r="N142" s="50"/>
      <c r="O142" s="50"/>
      <c r="P142" s="50"/>
      <c r="R142" s="75" t="str">
        <f t="shared" si="5"/>
        <v>No</v>
      </c>
      <c r="Y142" s="75">
        <f t="shared" si="0"/>
        <v>1</v>
      </c>
    </row>
    <row r="143" spans="1:25" ht="14.4">
      <c r="A143" s="3">
        <v>9</v>
      </c>
      <c r="B143" s="72" t="s">
        <v>1164</v>
      </c>
      <c r="C143" s="73">
        <v>2020</v>
      </c>
      <c r="D143" s="80"/>
      <c r="E143" s="91" t="s">
        <v>1165</v>
      </c>
      <c r="F143" s="52"/>
      <c r="G143" s="52"/>
      <c r="H143" s="52"/>
      <c r="I143" s="52"/>
      <c r="J143" s="52"/>
      <c r="K143" s="50"/>
      <c r="L143" s="50"/>
      <c r="M143" s="50"/>
      <c r="N143" s="50"/>
      <c r="O143" s="50"/>
      <c r="P143" s="50"/>
      <c r="Q143" s="3"/>
      <c r="R143" s="3" t="s">
        <v>152</v>
      </c>
      <c r="S143" s="3" t="s">
        <v>906</v>
      </c>
      <c r="Y143" s="75">
        <f t="shared" si="0"/>
        <v>1</v>
      </c>
    </row>
    <row r="144" spans="1:25" ht="14.4">
      <c r="A144" s="3">
        <v>9</v>
      </c>
      <c r="B144" s="72" t="s">
        <v>1166</v>
      </c>
      <c r="C144" s="73">
        <v>1987</v>
      </c>
      <c r="D144" s="72" t="s">
        <v>1167</v>
      </c>
      <c r="E144" s="85" t="s">
        <v>1168</v>
      </c>
      <c r="J144" s="3" t="s">
        <v>7</v>
      </c>
      <c r="Q144" s="3"/>
      <c r="R144" s="3" t="s">
        <v>152</v>
      </c>
      <c r="Y144" s="75">
        <f t="shared" si="0"/>
        <v>1</v>
      </c>
    </row>
    <row r="145" spans="1:25" ht="14.4">
      <c r="A145" s="3">
        <v>9</v>
      </c>
      <c r="B145" s="72" t="s">
        <v>1169</v>
      </c>
      <c r="C145" s="73">
        <v>1996</v>
      </c>
      <c r="D145" s="72" t="s">
        <v>1170</v>
      </c>
      <c r="E145" s="86" t="s">
        <v>1171</v>
      </c>
      <c r="J145" s="3" t="s">
        <v>7</v>
      </c>
      <c r="Q145" s="3"/>
      <c r="R145" s="3" t="s">
        <v>152</v>
      </c>
      <c r="Y145" s="75">
        <f t="shared" si="0"/>
        <v>1</v>
      </c>
    </row>
    <row r="146" spans="1:25" ht="14.4">
      <c r="A146" s="3">
        <v>9</v>
      </c>
      <c r="B146" s="72" t="s">
        <v>1172</v>
      </c>
      <c r="C146" s="72">
        <v>2010</v>
      </c>
      <c r="D146" s="72" t="s">
        <v>1173</v>
      </c>
      <c r="E146" s="96" t="s">
        <v>1174</v>
      </c>
      <c r="F146" s="52"/>
      <c r="G146" s="52"/>
      <c r="H146" s="52"/>
      <c r="I146" s="52"/>
      <c r="J146" s="53" t="s">
        <v>7</v>
      </c>
      <c r="K146" s="50"/>
      <c r="L146" s="50"/>
      <c r="M146" s="50"/>
      <c r="N146" s="50"/>
      <c r="O146" s="50"/>
      <c r="Q146" s="3"/>
      <c r="R146" s="3" t="s">
        <v>152</v>
      </c>
      <c r="Y146" s="75">
        <f t="shared" si="0"/>
        <v>1</v>
      </c>
    </row>
    <row r="147" spans="1:25" ht="14.4">
      <c r="A147" s="3">
        <v>9</v>
      </c>
      <c r="B147" s="72" t="s">
        <v>1175</v>
      </c>
      <c r="C147" s="73">
        <v>2003</v>
      </c>
      <c r="D147" s="72" t="s">
        <v>1176</v>
      </c>
      <c r="E147" s="86" t="s">
        <v>1177</v>
      </c>
      <c r="J147" s="3" t="s">
        <v>7</v>
      </c>
      <c r="Q147" s="3"/>
      <c r="R147" s="3" t="s">
        <v>152</v>
      </c>
      <c r="Y147" s="75">
        <f t="shared" si="0"/>
        <v>1</v>
      </c>
    </row>
    <row r="148" spans="1:25" ht="14.4">
      <c r="A148" s="3">
        <v>9</v>
      </c>
      <c r="B148" s="72" t="s">
        <v>1178</v>
      </c>
      <c r="C148" s="73">
        <v>2018</v>
      </c>
      <c r="D148" s="72" t="s">
        <v>1179</v>
      </c>
      <c r="E148" s="83" t="s">
        <v>1180</v>
      </c>
      <c r="F148" s="53" t="s">
        <v>7</v>
      </c>
      <c r="G148" s="52"/>
      <c r="H148" s="52"/>
      <c r="I148" s="52"/>
      <c r="J148" s="52"/>
      <c r="K148" s="50"/>
      <c r="L148" s="50"/>
      <c r="M148" s="50"/>
      <c r="N148" s="50"/>
      <c r="O148" s="50"/>
      <c r="P148" s="50"/>
      <c r="R148" s="75" t="str">
        <f t="shared" ref="R148:R153" si="6">IF(AND(F148&lt;&gt;"x",G148&lt;&gt;"x",H148&lt;&gt;"x",I148&lt;&gt;"x",J148&lt;&gt;"x",K148&lt;&gt;"x",L148&lt;&gt;"x",M148&lt;&gt;"x",N148&lt;&gt;"x",O148&lt;&gt;"x",P148&lt;&gt;"x", Q148&lt;&gt;"x"),"Yes","No")</f>
        <v>No</v>
      </c>
      <c r="Y148" s="75">
        <f t="shared" si="0"/>
        <v>1</v>
      </c>
    </row>
    <row r="149" spans="1:25" ht="14.4">
      <c r="A149" s="3">
        <v>9</v>
      </c>
      <c r="B149" s="72" t="s">
        <v>1181</v>
      </c>
      <c r="C149" s="73">
        <v>2015</v>
      </c>
      <c r="D149" s="72" t="s">
        <v>1182</v>
      </c>
      <c r="E149" s="81" t="s">
        <v>1183</v>
      </c>
      <c r="F149" s="53" t="s">
        <v>7</v>
      </c>
      <c r="G149" s="52"/>
      <c r="H149" s="52"/>
      <c r="I149" s="52"/>
      <c r="J149" s="52"/>
      <c r="K149" s="50"/>
      <c r="L149" s="50"/>
      <c r="M149" s="50"/>
      <c r="N149" s="50"/>
      <c r="O149" s="50"/>
      <c r="P149" s="50"/>
      <c r="R149" s="75" t="str">
        <f t="shared" si="6"/>
        <v>No</v>
      </c>
      <c r="Y149" s="75">
        <f t="shared" si="0"/>
        <v>1</v>
      </c>
    </row>
    <row r="150" spans="1:25" ht="14.4">
      <c r="A150" s="3">
        <v>9</v>
      </c>
      <c r="B150" s="72" t="s">
        <v>1184</v>
      </c>
      <c r="C150" s="73">
        <v>2017</v>
      </c>
      <c r="D150" s="72" t="s">
        <v>1185</v>
      </c>
      <c r="E150" s="81" t="s">
        <v>1186</v>
      </c>
      <c r="F150" s="53" t="s">
        <v>7</v>
      </c>
      <c r="G150" s="52"/>
      <c r="H150" s="52"/>
      <c r="I150" s="52"/>
      <c r="J150" s="52"/>
      <c r="K150" s="50"/>
      <c r="L150" s="50"/>
      <c r="M150" s="50"/>
      <c r="N150" s="50"/>
      <c r="O150" s="50"/>
      <c r="P150" s="50"/>
      <c r="R150" s="75" t="str">
        <f t="shared" si="6"/>
        <v>No</v>
      </c>
      <c r="Y150" s="75">
        <f t="shared" si="0"/>
        <v>1</v>
      </c>
    </row>
    <row r="151" spans="1:25" ht="14.4">
      <c r="A151" s="3">
        <v>9</v>
      </c>
      <c r="B151" s="72" t="s">
        <v>1187</v>
      </c>
      <c r="C151" s="73">
        <v>2019</v>
      </c>
      <c r="D151" s="72" t="s">
        <v>1188</v>
      </c>
      <c r="E151" s="78" t="s">
        <v>1189</v>
      </c>
      <c r="F151" s="53" t="s">
        <v>286</v>
      </c>
      <c r="G151" s="52"/>
      <c r="H151" s="53" t="s">
        <v>7</v>
      </c>
      <c r="I151" s="52"/>
      <c r="J151" s="52"/>
      <c r="K151" s="50"/>
      <c r="L151" s="50"/>
      <c r="M151" s="50"/>
      <c r="N151" s="50"/>
      <c r="O151" s="50"/>
      <c r="P151" s="50"/>
      <c r="R151" s="75" t="str">
        <f t="shared" si="6"/>
        <v>No</v>
      </c>
      <c r="Y151" s="75">
        <f t="shared" si="0"/>
        <v>1</v>
      </c>
    </row>
    <row r="152" spans="1:25" ht="14.4">
      <c r="A152" s="3">
        <v>9</v>
      </c>
      <c r="B152" s="72" t="s">
        <v>1190</v>
      </c>
      <c r="C152" s="73">
        <v>2016</v>
      </c>
      <c r="D152" s="72" t="s">
        <v>1191</v>
      </c>
      <c r="E152" s="78" t="s">
        <v>1192</v>
      </c>
      <c r="F152" s="53" t="s">
        <v>7</v>
      </c>
      <c r="G152" s="52"/>
      <c r="H152" s="52"/>
      <c r="I152" s="52"/>
      <c r="J152" s="52"/>
      <c r="K152" s="50"/>
      <c r="L152" s="50"/>
      <c r="M152" s="50"/>
      <c r="N152" s="50"/>
      <c r="O152" s="50"/>
      <c r="P152" s="50"/>
      <c r="R152" s="75" t="str">
        <f t="shared" si="6"/>
        <v>No</v>
      </c>
      <c r="Y152" s="75">
        <f t="shared" si="0"/>
        <v>1</v>
      </c>
    </row>
    <row r="153" spans="1:25" ht="14.4">
      <c r="A153" s="3">
        <v>9</v>
      </c>
      <c r="B153" s="72" t="s">
        <v>1193</v>
      </c>
      <c r="C153" s="73">
        <v>2014</v>
      </c>
      <c r="D153" s="72" t="s">
        <v>1194</v>
      </c>
      <c r="E153" s="81" t="s">
        <v>1195</v>
      </c>
      <c r="F153" s="53" t="s">
        <v>7</v>
      </c>
      <c r="G153" s="52"/>
      <c r="H153" s="52"/>
      <c r="I153" s="52"/>
      <c r="J153" s="52"/>
      <c r="K153" s="50"/>
      <c r="L153" s="50"/>
      <c r="M153" s="50"/>
      <c r="N153" s="50"/>
      <c r="O153" s="50"/>
      <c r="P153" s="50"/>
      <c r="R153" s="75" t="str">
        <f t="shared" si="6"/>
        <v>No</v>
      </c>
      <c r="Y153" s="75">
        <f t="shared" si="0"/>
        <v>1</v>
      </c>
    </row>
    <row r="154" spans="1:25" ht="14.4">
      <c r="A154" s="3" t="s">
        <v>1196</v>
      </c>
      <c r="B154" s="72" t="s">
        <v>1197</v>
      </c>
      <c r="C154" s="73">
        <v>2009</v>
      </c>
      <c r="D154" s="72" t="s">
        <v>1198</v>
      </c>
      <c r="E154" s="76" t="s">
        <v>1199</v>
      </c>
      <c r="J154" s="3" t="s">
        <v>7</v>
      </c>
      <c r="Q154" s="3"/>
      <c r="R154" s="3" t="s">
        <v>152</v>
      </c>
      <c r="Y154" s="75">
        <f t="shared" si="0"/>
        <v>1</v>
      </c>
    </row>
    <row r="155" spans="1:25" ht="14.4">
      <c r="A155" s="3">
        <v>9</v>
      </c>
      <c r="B155" s="72" t="s">
        <v>1200</v>
      </c>
      <c r="C155" s="73">
        <v>2000</v>
      </c>
      <c r="D155" s="72" t="s">
        <v>1201</v>
      </c>
      <c r="E155" s="81" t="s">
        <v>1202</v>
      </c>
      <c r="J155" s="3" t="s">
        <v>7</v>
      </c>
      <c r="Q155" s="3"/>
      <c r="R155" s="3" t="s">
        <v>152</v>
      </c>
      <c r="Y155" s="75">
        <f t="shared" si="0"/>
        <v>1</v>
      </c>
    </row>
    <row r="156" spans="1:25" ht="14.4">
      <c r="A156" s="3">
        <v>9</v>
      </c>
      <c r="B156" s="72" t="s">
        <v>1203</v>
      </c>
      <c r="C156" s="73">
        <v>2019</v>
      </c>
      <c r="D156" s="72" t="s">
        <v>1204</v>
      </c>
      <c r="E156" s="78" t="s">
        <v>62</v>
      </c>
      <c r="F156" s="52"/>
      <c r="G156" s="52"/>
      <c r="H156" s="52"/>
      <c r="I156" s="52"/>
      <c r="J156" s="52"/>
      <c r="K156" s="50"/>
      <c r="L156" s="50"/>
      <c r="M156" s="50"/>
      <c r="N156" s="50"/>
      <c r="O156" s="50"/>
      <c r="P156" s="51" t="s">
        <v>7</v>
      </c>
      <c r="R156" s="3" t="s">
        <v>176</v>
      </c>
      <c r="S156" s="3" t="s">
        <v>1205</v>
      </c>
      <c r="Y156" s="75">
        <f t="shared" si="0"/>
        <v>1</v>
      </c>
    </row>
    <row r="157" spans="1:25" ht="14.4">
      <c r="A157" s="3">
        <v>9</v>
      </c>
      <c r="B157" s="72" t="s">
        <v>1206</v>
      </c>
      <c r="C157" s="73">
        <v>2016</v>
      </c>
      <c r="D157" s="72" t="s">
        <v>1207</v>
      </c>
      <c r="E157" s="78" t="s">
        <v>1208</v>
      </c>
      <c r="F157" s="52"/>
      <c r="G157" s="52"/>
      <c r="H157" s="52"/>
      <c r="I157" s="52"/>
      <c r="J157" s="52"/>
      <c r="K157" s="50"/>
      <c r="L157" s="50"/>
      <c r="M157" s="51" t="s">
        <v>7</v>
      </c>
      <c r="N157" s="50"/>
      <c r="O157" s="50"/>
      <c r="P157" s="50"/>
      <c r="R157" s="3" t="s">
        <v>152</v>
      </c>
      <c r="S157" s="3" t="s">
        <v>1209</v>
      </c>
      <c r="Y157" s="75">
        <f t="shared" si="0"/>
        <v>1</v>
      </c>
    </row>
    <row r="158" spans="1:25" ht="14.4">
      <c r="A158" s="3">
        <v>9</v>
      </c>
      <c r="B158" s="72" t="s">
        <v>1210</v>
      </c>
      <c r="C158" s="73">
        <v>2018</v>
      </c>
      <c r="D158" s="72" t="s">
        <v>1211</v>
      </c>
      <c r="E158" s="81" t="s">
        <v>1212</v>
      </c>
      <c r="F158" s="53" t="s">
        <v>7</v>
      </c>
      <c r="G158" s="52"/>
      <c r="H158" s="52"/>
      <c r="I158" s="52"/>
      <c r="J158" s="52"/>
      <c r="K158" s="50"/>
      <c r="L158" s="50"/>
      <c r="M158" s="50"/>
      <c r="N158" s="50"/>
      <c r="O158" s="50"/>
      <c r="P158" s="50"/>
      <c r="R158" s="75" t="str">
        <f>IF(AND(F158&lt;&gt;"x",G158&lt;&gt;"x",H158&lt;&gt;"x",I158&lt;&gt;"x",J158&lt;&gt;"x",K158&lt;&gt;"x",L158&lt;&gt;"x",M158&lt;&gt;"x",N158&lt;&gt;"x",O158&lt;&gt;"x",P158&lt;&gt;"x", Q158&lt;&gt;"x"),"Yes","No")</f>
        <v>No</v>
      </c>
      <c r="Y158" s="75">
        <f t="shared" si="0"/>
        <v>1</v>
      </c>
    </row>
    <row r="159" spans="1:25" ht="14.4">
      <c r="A159" s="3">
        <v>9</v>
      </c>
      <c r="B159" s="72" t="s">
        <v>1213</v>
      </c>
      <c r="C159" s="73">
        <v>2002</v>
      </c>
      <c r="D159" s="72" t="s">
        <v>1214</v>
      </c>
      <c r="E159" s="83" t="s">
        <v>1215</v>
      </c>
      <c r="J159" s="3" t="s">
        <v>7</v>
      </c>
      <c r="Q159" s="3"/>
      <c r="R159" s="3" t="s">
        <v>152</v>
      </c>
      <c r="Y159" s="75">
        <f t="shared" si="0"/>
        <v>1</v>
      </c>
    </row>
    <row r="160" spans="1:25" ht="14.4">
      <c r="A160" s="3">
        <v>9</v>
      </c>
      <c r="B160" s="72" t="s">
        <v>118</v>
      </c>
      <c r="C160" s="73">
        <v>2019</v>
      </c>
      <c r="D160" s="72" t="s">
        <v>119</v>
      </c>
      <c r="E160" s="81" t="s">
        <v>120</v>
      </c>
      <c r="F160" s="52"/>
      <c r="G160" s="52"/>
      <c r="H160" s="52"/>
      <c r="I160" s="52"/>
      <c r="J160" s="52"/>
      <c r="K160" s="50"/>
      <c r="L160" s="50"/>
      <c r="M160" s="50"/>
      <c r="N160" s="50"/>
      <c r="O160" s="50"/>
      <c r="P160" s="50"/>
      <c r="R160" s="75" t="str">
        <f>IF(AND(F160&lt;&gt;"x",G160&lt;&gt;"x",H160&lt;&gt;"x",I160&lt;&gt;"x",J160&lt;&gt;"x",K160&lt;&gt;"x",L160&lt;&gt;"x",M160&lt;&gt;"x",N160&lt;&gt;"x",O160&lt;&gt;"x",P160&lt;&gt;"x", Q160&lt;&gt;"x"),"Yes","No")</f>
        <v>Yes</v>
      </c>
      <c r="S160" s="3" t="s">
        <v>121</v>
      </c>
      <c r="Y160" s="75">
        <f t="shared" si="0"/>
        <v>1</v>
      </c>
    </row>
    <row r="161" spans="1:25" ht="14.4">
      <c r="A161" s="3">
        <v>9</v>
      </c>
      <c r="B161" s="72" t="s">
        <v>1216</v>
      </c>
      <c r="C161" s="73">
        <v>2010</v>
      </c>
      <c r="D161" s="72" t="s">
        <v>1217</v>
      </c>
      <c r="E161" s="74" t="s">
        <v>1218</v>
      </c>
      <c r="J161" s="3" t="s">
        <v>7</v>
      </c>
      <c r="Q161" s="3"/>
      <c r="R161" s="3" t="s">
        <v>152</v>
      </c>
      <c r="Y161" s="75">
        <f t="shared" si="0"/>
        <v>1</v>
      </c>
    </row>
    <row r="162" spans="1:25" ht="14.4">
      <c r="A162" s="3">
        <v>9</v>
      </c>
      <c r="B162" s="72" t="s">
        <v>1219</v>
      </c>
      <c r="C162" s="73">
        <v>2013</v>
      </c>
      <c r="D162" s="72" t="s">
        <v>1220</v>
      </c>
      <c r="E162" s="78" t="s">
        <v>1221</v>
      </c>
      <c r="F162" s="53" t="s">
        <v>7</v>
      </c>
      <c r="G162" s="52"/>
      <c r="H162" s="52"/>
      <c r="I162" s="52"/>
      <c r="J162" s="52"/>
      <c r="K162" s="50"/>
      <c r="L162" s="50"/>
      <c r="M162" s="50"/>
      <c r="N162" s="50"/>
      <c r="O162" s="50"/>
      <c r="P162" s="50"/>
      <c r="R162" s="75" t="str">
        <f t="shared" ref="R162:R173" si="7">IF(AND(F162&lt;&gt;"x",G162&lt;&gt;"x",H162&lt;&gt;"x",I162&lt;&gt;"x",J162&lt;&gt;"x",K162&lt;&gt;"x",L162&lt;&gt;"x",M162&lt;&gt;"x",N162&lt;&gt;"x",O162&lt;&gt;"x",P162&lt;&gt;"x", Q162&lt;&gt;"x"),"Yes","No")</f>
        <v>No</v>
      </c>
      <c r="Y162" s="75">
        <f t="shared" si="0"/>
        <v>1</v>
      </c>
    </row>
    <row r="163" spans="1:25" ht="14.4">
      <c r="A163" s="3">
        <v>9</v>
      </c>
      <c r="B163" s="72" t="s">
        <v>1222</v>
      </c>
      <c r="C163" s="73">
        <v>2014</v>
      </c>
      <c r="D163" s="72" t="s">
        <v>1223</v>
      </c>
      <c r="E163" s="81" t="s">
        <v>1224</v>
      </c>
      <c r="F163" s="52"/>
      <c r="G163" s="53" t="s">
        <v>7</v>
      </c>
      <c r="H163" s="52"/>
      <c r="I163" s="52"/>
      <c r="J163" s="52"/>
      <c r="K163" s="50"/>
      <c r="L163" s="50"/>
      <c r="M163" s="50"/>
      <c r="N163" s="50"/>
      <c r="O163" s="50"/>
      <c r="P163" s="50"/>
      <c r="R163" s="75" t="str">
        <f t="shared" si="7"/>
        <v>No</v>
      </c>
      <c r="Y163" s="75">
        <f t="shared" si="0"/>
        <v>1</v>
      </c>
    </row>
    <row r="164" spans="1:25" ht="14.4">
      <c r="A164" s="3">
        <v>9</v>
      </c>
      <c r="B164" s="72" t="s">
        <v>1225</v>
      </c>
      <c r="C164" s="73">
        <v>2013</v>
      </c>
      <c r="D164" s="72" t="s">
        <v>1226</v>
      </c>
      <c r="E164" s="76" t="s">
        <v>1227</v>
      </c>
      <c r="F164" s="52"/>
      <c r="G164" s="52"/>
      <c r="H164" s="53" t="s">
        <v>7</v>
      </c>
      <c r="I164" s="52"/>
      <c r="J164" s="52"/>
      <c r="K164" s="50"/>
      <c r="L164" s="50"/>
      <c r="M164" s="50"/>
      <c r="N164" s="50"/>
      <c r="O164" s="50"/>
      <c r="P164" s="50"/>
      <c r="R164" s="75" t="str">
        <f t="shared" si="7"/>
        <v>No</v>
      </c>
      <c r="Y164" s="75">
        <f t="shared" si="0"/>
        <v>1</v>
      </c>
    </row>
    <row r="165" spans="1:25" ht="14.4">
      <c r="A165" s="3">
        <v>9</v>
      </c>
      <c r="B165" s="72" t="s">
        <v>1228</v>
      </c>
      <c r="C165" s="73">
        <v>2018</v>
      </c>
      <c r="D165" s="72" t="s">
        <v>1229</v>
      </c>
      <c r="E165" s="78" t="s">
        <v>1230</v>
      </c>
      <c r="F165" s="53" t="s">
        <v>286</v>
      </c>
      <c r="G165" s="53" t="s">
        <v>7</v>
      </c>
      <c r="H165" s="53" t="s">
        <v>7</v>
      </c>
      <c r="I165" s="52"/>
      <c r="J165" s="52"/>
      <c r="K165" s="50"/>
      <c r="L165" s="50"/>
      <c r="M165" s="50"/>
      <c r="N165" s="50"/>
      <c r="O165" s="50"/>
      <c r="P165" s="50"/>
      <c r="R165" s="75" t="str">
        <f t="shared" si="7"/>
        <v>No</v>
      </c>
      <c r="Y165" s="75">
        <f t="shared" si="0"/>
        <v>1</v>
      </c>
    </row>
    <row r="166" spans="1:25" ht="14.4">
      <c r="A166" s="3">
        <v>9</v>
      </c>
      <c r="B166" s="72" t="s">
        <v>1231</v>
      </c>
      <c r="C166" s="73">
        <v>2018</v>
      </c>
      <c r="D166" s="72" t="s">
        <v>1232</v>
      </c>
      <c r="E166" s="78" t="s">
        <v>1233</v>
      </c>
      <c r="F166" s="52"/>
      <c r="G166" s="53" t="s">
        <v>7</v>
      </c>
      <c r="H166" s="53" t="s">
        <v>7</v>
      </c>
      <c r="I166" s="52"/>
      <c r="J166" s="52"/>
      <c r="K166" s="50"/>
      <c r="L166" s="50"/>
      <c r="M166" s="50"/>
      <c r="N166" s="50"/>
      <c r="O166" s="50"/>
      <c r="P166" s="50"/>
      <c r="R166" s="75" t="str">
        <f t="shared" si="7"/>
        <v>No</v>
      </c>
      <c r="Y166" s="75">
        <f t="shared" si="0"/>
        <v>1</v>
      </c>
    </row>
    <row r="167" spans="1:25" ht="14.4">
      <c r="A167" s="3">
        <v>9</v>
      </c>
      <c r="B167" s="72" t="s">
        <v>1234</v>
      </c>
      <c r="C167" s="73">
        <v>2015</v>
      </c>
      <c r="D167" s="72" t="s">
        <v>1235</v>
      </c>
      <c r="E167" s="76" t="s">
        <v>1236</v>
      </c>
      <c r="F167" s="53" t="s">
        <v>7</v>
      </c>
      <c r="G167" s="52"/>
      <c r="H167" s="52"/>
      <c r="I167" s="52"/>
      <c r="J167" s="52"/>
      <c r="K167" s="50"/>
      <c r="L167" s="50"/>
      <c r="M167" s="50"/>
      <c r="N167" s="50"/>
      <c r="O167" s="50"/>
      <c r="P167" s="50"/>
      <c r="R167" s="75" t="str">
        <f t="shared" si="7"/>
        <v>No</v>
      </c>
      <c r="Y167" s="75">
        <f t="shared" si="0"/>
        <v>1</v>
      </c>
    </row>
    <row r="168" spans="1:25" ht="14.4">
      <c r="A168" s="3">
        <v>9</v>
      </c>
      <c r="B168" s="72" t="s">
        <v>1237</v>
      </c>
      <c r="C168" s="73">
        <v>2016</v>
      </c>
      <c r="D168" s="72" t="s">
        <v>1238</v>
      </c>
      <c r="E168" s="81" t="s">
        <v>1239</v>
      </c>
      <c r="F168" s="52"/>
      <c r="G168" s="52"/>
      <c r="H168" s="52"/>
      <c r="I168" s="52"/>
      <c r="J168" s="52"/>
      <c r="K168" s="50"/>
      <c r="L168" s="50"/>
      <c r="M168" s="50"/>
      <c r="N168" s="51" t="s">
        <v>7</v>
      </c>
      <c r="O168" s="50"/>
      <c r="P168" s="50"/>
      <c r="R168" s="75" t="str">
        <f t="shared" si="7"/>
        <v>No</v>
      </c>
      <c r="Y168" s="75">
        <f t="shared" si="0"/>
        <v>1</v>
      </c>
    </row>
    <row r="169" spans="1:25" ht="14.4">
      <c r="A169" s="3">
        <v>9</v>
      </c>
      <c r="B169" s="72" t="s">
        <v>122</v>
      </c>
      <c r="C169" s="73">
        <v>2012</v>
      </c>
      <c r="D169" s="72" t="s">
        <v>123</v>
      </c>
      <c r="E169" s="76" t="s">
        <v>124</v>
      </c>
      <c r="F169" s="52"/>
      <c r="G169" s="52"/>
      <c r="H169" s="52"/>
      <c r="I169" s="52"/>
      <c r="J169" s="52"/>
      <c r="K169" s="50"/>
      <c r="L169" s="50"/>
      <c r="M169" s="50"/>
      <c r="N169" s="50"/>
      <c r="O169" s="50"/>
      <c r="P169" s="50"/>
      <c r="R169" s="75" t="str">
        <f t="shared" si="7"/>
        <v>Yes</v>
      </c>
      <c r="S169" s="3" t="s">
        <v>125</v>
      </c>
      <c r="Y169" s="75">
        <f t="shared" si="0"/>
        <v>1</v>
      </c>
    </row>
    <row r="170" spans="1:25" ht="14.4">
      <c r="A170" s="3">
        <v>9</v>
      </c>
      <c r="B170" s="72" t="s">
        <v>1240</v>
      </c>
      <c r="C170" s="73">
        <v>2019</v>
      </c>
      <c r="D170" s="72" t="s">
        <v>1241</v>
      </c>
      <c r="E170" s="76" t="s">
        <v>1242</v>
      </c>
      <c r="F170" s="53" t="s">
        <v>7</v>
      </c>
      <c r="G170" s="52"/>
      <c r="H170" s="52"/>
      <c r="I170" s="52"/>
      <c r="J170" s="52"/>
      <c r="K170" s="50"/>
      <c r="L170" s="50"/>
      <c r="M170" s="50"/>
      <c r="N170" s="50"/>
      <c r="O170" s="50"/>
      <c r="P170" s="50"/>
      <c r="R170" s="75" t="str">
        <f t="shared" si="7"/>
        <v>No</v>
      </c>
      <c r="Y170" s="75">
        <f t="shared" si="0"/>
        <v>1</v>
      </c>
    </row>
    <row r="171" spans="1:25" ht="14.4">
      <c r="A171" s="3">
        <v>9</v>
      </c>
      <c r="B171" s="72" t="s">
        <v>1243</v>
      </c>
      <c r="C171" s="73">
        <v>2018</v>
      </c>
      <c r="D171" s="72" t="s">
        <v>1244</v>
      </c>
      <c r="E171" s="74" t="s">
        <v>1245</v>
      </c>
      <c r="F171" s="52"/>
      <c r="G171" s="53" t="s">
        <v>7</v>
      </c>
      <c r="H171" s="52"/>
      <c r="I171" s="52"/>
      <c r="J171" s="52"/>
      <c r="K171" s="50"/>
      <c r="L171" s="50"/>
      <c r="M171" s="50"/>
      <c r="N171" s="50"/>
      <c r="O171" s="50"/>
      <c r="P171" s="50"/>
      <c r="R171" s="75" t="str">
        <f t="shared" si="7"/>
        <v>No</v>
      </c>
      <c r="Y171" s="75">
        <f t="shared" si="0"/>
        <v>1</v>
      </c>
    </row>
    <row r="172" spans="1:25" ht="14.4">
      <c r="A172" s="3">
        <v>9</v>
      </c>
      <c r="B172" s="72" t="s">
        <v>1246</v>
      </c>
      <c r="C172" s="73">
        <v>2016</v>
      </c>
      <c r="D172" s="72" t="s">
        <v>1247</v>
      </c>
      <c r="E172" s="81" t="s">
        <v>1248</v>
      </c>
      <c r="F172" s="52"/>
      <c r="G172" s="53" t="s">
        <v>7</v>
      </c>
      <c r="H172" s="52"/>
      <c r="I172" s="52"/>
      <c r="J172" s="52"/>
      <c r="K172" s="50"/>
      <c r="L172" s="50"/>
      <c r="M172" s="50"/>
      <c r="N172" s="50"/>
      <c r="O172" s="50"/>
      <c r="P172" s="50"/>
      <c r="R172" s="75" t="str">
        <f t="shared" si="7"/>
        <v>No</v>
      </c>
      <c r="Y172" s="75">
        <f t="shared" si="0"/>
        <v>1</v>
      </c>
    </row>
    <row r="173" spans="1:25" ht="14.4">
      <c r="A173" s="3">
        <v>9</v>
      </c>
      <c r="B173" s="72" t="s">
        <v>1249</v>
      </c>
      <c r="C173" s="73">
        <v>2019</v>
      </c>
      <c r="D173" s="72" t="s">
        <v>1250</v>
      </c>
      <c r="E173" s="81" t="s">
        <v>1251</v>
      </c>
      <c r="F173" s="52"/>
      <c r="G173" s="52"/>
      <c r="H173" s="53" t="s">
        <v>7</v>
      </c>
      <c r="I173" s="52"/>
      <c r="J173" s="52"/>
      <c r="K173" s="50"/>
      <c r="L173" s="50"/>
      <c r="M173" s="50"/>
      <c r="N173" s="50"/>
      <c r="O173" s="50"/>
      <c r="P173" s="50"/>
      <c r="R173" s="75" t="str">
        <f t="shared" si="7"/>
        <v>No</v>
      </c>
      <c r="Y173" s="75">
        <f t="shared" si="0"/>
        <v>1</v>
      </c>
    </row>
    <row r="174" spans="1:25" ht="14.4">
      <c r="A174" s="3" t="s">
        <v>1196</v>
      </c>
      <c r="B174" s="72" t="s">
        <v>1252</v>
      </c>
      <c r="C174" s="73">
        <v>2008</v>
      </c>
      <c r="D174" s="72" t="s">
        <v>1253</v>
      </c>
      <c r="E174" s="81" t="s">
        <v>1254</v>
      </c>
      <c r="J174" s="3" t="s">
        <v>7</v>
      </c>
      <c r="Q174" s="3"/>
      <c r="R174" s="3" t="s">
        <v>152</v>
      </c>
      <c r="Y174" s="75">
        <f t="shared" si="0"/>
        <v>1</v>
      </c>
    </row>
    <row r="175" spans="1:25" ht="14.4">
      <c r="A175" s="3" t="s">
        <v>1196</v>
      </c>
      <c r="B175" s="72" t="s">
        <v>1255</v>
      </c>
      <c r="C175" s="72">
        <v>2010</v>
      </c>
      <c r="D175" s="72" t="s">
        <v>1256</v>
      </c>
      <c r="E175" s="76" t="s">
        <v>1257</v>
      </c>
      <c r="J175" s="3" t="s">
        <v>7</v>
      </c>
      <c r="Q175" s="3"/>
      <c r="R175" s="3" t="s">
        <v>152</v>
      </c>
      <c r="Y175" s="75">
        <f t="shared" si="0"/>
        <v>1</v>
      </c>
    </row>
    <row r="176" spans="1:25" ht="14.4">
      <c r="A176" s="3">
        <v>9</v>
      </c>
      <c r="B176" s="72" t="s">
        <v>1258</v>
      </c>
      <c r="C176" s="73">
        <v>2015</v>
      </c>
      <c r="D176" s="72" t="s">
        <v>1259</v>
      </c>
      <c r="E176" s="76" t="s">
        <v>1260</v>
      </c>
      <c r="F176" s="52"/>
      <c r="G176" s="53" t="s">
        <v>7</v>
      </c>
      <c r="H176" s="52"/>
      <c r="I176" s="52"/>
      <c r="J176" s="52"/>
      <c r="K176" s="50"/>
      <c r="L176" s="50"/>
      <c r="M176" s="50"/>
      <c r="N176" s="50"/>
      <c r="O176" s="50"/>
      <c r="P176" s="50"/>
      <c r="R176" s="75" t="str">
        <f t="shared" ref="R176:R177" si="8">IF(AND(F176&lt;&gt;"x",G176&lt;&gt;"x",H176&lt;&gt;"x",I176&lt;&gt;"x",J176&lt;&gt;"x",K176&lt;&gt;"x",L176&lt;&gt;"x",M176&lt;&gt;"x",N176&lt;&gt;"x",O176&lt;&gt;"x",P176&lt;&gt;"x", Q176&lt;&gt;"x"),"Yes","No")</f>
        <v>No</v>
      </c>
      <c r="Y176" s="75">
        <f t="shared" si="0"/>
        <v>1</v>
      </c>
    </row>
    <row r="177" spans="1:25" ht="14.4">
      <c r="A177" s="3">
        <v>11</v>
      </c>
      <c r="B177" s="72" t="s">
        <v>1261</v>
      </c>
      <c r="C177" s="73">
        <v>2013</v>
      </c>
      <c r="D177" s="72" t="s">
        <v>1262</v>
      </c>
      <c r="E177" s="81" t="s">
        <v>1263</v>
      </c>
      <c r="F177" s="53" t="s">
        <v>7</v>
      </c>
      <c r="G177" s="52"/>
      <c r="H177" s="52"/>
      <c r="I177" s="52"/>
      <c r="J177" s="52"/>
      <c r="K177" s="50"/>
      <c r="L177" s="50"/>
      <c r="M177" s="50"/>
      <c r="N177" s="50"/>
      <c r="O177" s="50"/>
      <c r="P177" s="50"/>
      <c r="R177" s="75" t="str">
        <f t="shared" si="8"/>
        <v>No</v>
      </c>
      <c r="Y177" s="75">
        <f t="shared" si="0"/>
        <v>1</v>
      </c>
    </row>
    <row r="178" spans="1:25" ht="14.4">
      <c r="A178" s="3">
        <v>11</v>
      </c>
      <c r="B178" s="72" t="s">
        <v>1264</v>
      </c>
      <c r="C178" s="73">
        <v>2008</v>
      </c>
      <c r="D178" s="72" t="s">
        <v>1265</v>
      </c>
      <c r="E178" s="74" t="s">
        <v>1266</v>
      </c>
      <c r="J178" s="3" t="s">
        <v>7</v>
      </c>
      <c r="Q178" s="3"/>
      <c r="R178" s="3" t="s">
        <v>152</v>
      </c>
      <c r="Y178" s="75">
        <f t="shared" si="0"/>
        <v>1</v>
      </c>
    </row>
    <row r="179" spans="1:25" ht="14.4">
      <c r="A179" s="3">
        <v>11</v>
      </c>
      <c r="B179" s="72" t="s">
        <v>1267</v>
      </c>
      <c r="C179" s="73">
        <v>2011</v>
      </c>
      <c r="D179" s="72" t="s">
        <v>1268</v>
      </c>
      <c r="E179" s="78" t="s">
        <v>1269</v>
      </c>
      <c r="F179" s="52"/>
      <c r="G179" s="53" t="s">
        <v>7</v>
      </c>
      <c r="H179" s="52"/>
      <c r="I179" s="52"/>
      <c r="J179" s="52"/>
      <c r="K179" s="50"/>
      <c r="L179" s="50"/>
      <c r="M179" s="50"/>
      <c r="N179" s="50"/>
      <c r="O179" s="50"/>
      <c r="P179" s="50"/>
      <c r="R179" s="75" t="str">
        <f>IF(AND(F179&lt;&gt;"x",G179&lt;&gt;"x",H179&lt;&gt;"x",I179&lt;&gt;"x",J179&lt;&gt;"x",K179&lt;&gt;"x",L179&lt;&gt;"x",M179&lt;&gt;"x",N179&lt;&gt;"x",O179&lt;&gt;"x",P179&lt;&gt;"x", Q179&lt;&gt;"x"),"Yes","No")</f>
        <v>No</v>
      </c>
      <c r="Y179" s="75">
        <f t="shared" si="0"/>
        <v>1</v>
      </c>
    </row>
    <row r="180" spans="1:25" ht="14.4">
      <c r="A180" s="3">
        <v>11</v>
      </c>
      <c r="B180" s="72" t="s">
        <v>1270</v>
      </c>
      <c r="C180" s="73">
        <v>2005</v>
      </c>
      <c r="D180" s="72" t="s">
        <v>1271</v>
      </c>
      <c r="E180" s="86" t="s">
        <v>1272</v>
      </c>
      <c r="J180" s="3" t="s">
        <v>7</v>
      </c>
      <c r="Q180" s="3"/>
      <c r="R180" s="3" t="s">
        <v>152</v>
      </c>
      <c r="Y180" s="75">
        <f t="shared" si="0"/>
        <v>1</v>
      </c>
    </row>
    <row r="181" spans="1:25" ht="14.4">
      <c r="A181" s="3">
        <v>11</v>
      </c>
      <c r="B181" s="72" t="s">
        <v>1273</v>
      </c>
      <c r="C181" s="73">
        <v>2014</v>
      </c>
      <c r="D181" s="72" t="s">
        <v>1274</v>
      </c>
      <c r="E181" s="86" t="s">
        <v>1275</v>
      </c>
      <c r="F181" s="53" t="s">
        <v>7</v>
      </c>
      <c r="G181" s="52"/>
      <c r="H181" s="52"/>
      <c r="I181" s="52"/>
      <c r="J181" s="52"/>
      <c r="K181" s="50"/>
      <c r="L181" s="50"/>
      <c r="M181" s="50"/>
      <c r="N181" s="50"/>
      <c r="O181" s="50"/>
      <c r="P181" s="50"/>
      <c r="R181" s="75" t="str">
        <f>IF(AND(F181&lt;&gt;"x",G181&lt;&gt;"x",H181&lt;&gt;"x",I181&lt;&gt;"x",J181&lt;&gt;"x",K181&lt;&gt;"x",L181&lt;&gt;"x",M181&lt;&gt;"x",N181&lt;&gt;"x",O181&lt;&gt;"x",P181&lt;&gt;"x", Q181&lt;&gt;"x"),"Yes","No")</f>
        <v>No</v>
      </c>
      <c r="Y181" s="75">
        <f t="shared" si="0"/>
        <v>1</v>
      </c>
    </row>
    <row r="182" spans="1:25" ht="14.4">
      <c r="A182" s="3">
        <v>11</v>
      </c>
      <c r="B182" s="72" t="s">
        <v>1276</v>
      </c>
      <c r="C182" s="73">
        <v>2008</v>
      </c>
      <c r="D182" s="72" t="s">
        <v>1277</v>
      </c>
      <c r="E182" s="76" t="s">
        <v>1278</v>
      </c>
      <c r="J182" s="3" t="s">
        <v>7</v>
      </c>
      <c r="Q182" s="3"/>
      <c r="R182" s="3" t="s">
        <v>152</v>
      </c>
      <c r="Y182" s="75">
        <f t="shared" si="0"/>
        <v>1</v>
      </c>
    </row>
    <row r="183" spans="1:25" ht="14.4">
      <c r="A183" s="3">
        <v>11</v>
      </c>
      <c r="B183" s="72" t="s">
        <v>1279</v>
      </c>
      <c r="C183" s="73">
        <v>2005</v>
      </c>
      <c r="D183" s="72" t="s">
        <v>1280</v>
      </c>
      <c r="E183" s="74" t="s">
        <v>1281</v>
      </c>
      <c r="J183" s="3" t="s">
        <v>7</v>
      </c>
      <c r="Q183" s="3"/>
      <c r="R183" s="3" t="s">
        <v>152</v>
      </c>
      <c r="Y183" s="75">
        <f t="shared" si="0"/>
        <v>1</v>
      </c>
    </row>
    <row r="184" spans="1:25" ht="14.4">
      <c r="A184" s="3">
        <v>11</v>
      </c>
      <c r="B184" s="72" t="s">
        <v>1282</v>
      </c>
      <c r="C184" s="73">
        <v>2005</v>
      </c>
      <c r="D184" s="72" t="s">
        <v>1053</v>
      </c>
      <c r="E184" s="83" t="s">
        <v>1283</v>
      </c>
      <c r="J184" s="3" t="s">
        <v>7</v>
      </c>
      <c r="Q184" s="3"/>
      <c r="R184" s="3" t="s">
        <v>152</v>
      </c>
      <c r="Y184" s="75">
        <f t="shared" si="0"/>
        <v>1</v>
      </c>
    </row>
    <row r="185" spans="1:25" ht="14.4">
      <c r="A185" s="3">
        <v>11</v>
      </c>
      <c r="B185" s="72" t="s">
        <v>1070</v>
      </c>
      <c r="C185" s="73">
        <v>2009</v>
      </c>
      <c r="D185" s="72" t="s">
        <v>1071</v>
      </c>
      <c r="E185" s="90" t="s">
        <v>1284</v>
      </c>
      <c r="J185" s="3" t="s">
        <v>7</v>
      </c>
      <c r="Q185" s="3"/>
      <c r="R185" s="3" t="s">
        <v>152</v>
      </c>
      <c r="Y185" s="75">
        <f t="shared" si="0"/>
        <v>1</v>
      </c>
    </row>
    <row r="186" spans="1:25" ht="14.4">
      <c r="A186" s="3">
        <v>11</v>
      </c>
      <c r="B186" s="72" t="s">
        <v>1285</v>
      </c>
      <c r="C186" s="73">
        <v>2013</v>
      </c>
      <c r="D186" s="72" t="s">
        <v>1286</v>
      </c>
      <c r="E186" s="78" t="s">
        <v>1287</v>
      </c>
      <c r="F186" s="52"/>
      <c r="G186" s="52"/>
      <c r="H186" s="52"/>
      <c r="I186" s="52"/>
      <c r="J186" s="52"/>
      <c r="K186" s="51" t="s">
        <v>7</v>
      </c>
      <c r="L186" s="50"/>
      <c r="M186" s="50"/>
      <c r="N186" s="50"/>
      <c r="O186" s="50"/>
      <c r="P186" s="50"/>
      <c r="R186" s="75" t="str">
        <f>IF(AND(F186&lt;&gt;"x",G186&lt;&gt;"x",H186&lt;&gt;"x",I186&lt;&gt;"x",J186&lt;&gt;"x",K186&lt;&gt;"x",L186&lt;&gt;"x",M186&lt;&gt;"x",N186&lt;&gt;"x",O186&lt;&gt;"x",P186&lt;&gt;"x", Q186&lt;&gt;"x"),"Yes","No")</f>
        <v>No</v>
      </c>
      <c r="Y186" s="75">
        <f t="shared" si="0"/>
        <v>1</v>
      </c>
    </row>
    <row r="187" spans="1:25" ht="14.4">
      <c r="A187" s="3">
        <v>11</v>
      </c>
      <c r="B187" s="72" t="s">
        <v>1288</v>
      </c>
      <c r="C187" s="73">
        <v>2009</v>
      </c>
      <c r="D187" s="72" t="s">
        <v>1289</v>
      </c>
      <c r="E187" s="76" t="s">
        <v>1290</v>
      </c>
      <c r="J187" s="3" t="s">
        <v>7</v>
      </c>
      <c r="Q187" s="3"/>
      <c r="R187" s="3" t="s">
        <v>152</v>
      </c>
      <c r="Y187" s="75">
        <f t="shared" si="0"/>
        <v>1</v>
      </c>
    </row>
    <row r="188" spans="1:25" ht="14.4">
      <c r="A188" s="3">
        <v>12</v>
      </c>
      <c r="B188" s="72" t="s">
        <v>1291</v>
      </c>
      <c r="C188" s="73">
        <v>2006</v>
      </c>
      <c r="D188" s="72" t="s">
        <v>1292</v>
      </c>
      <c r="E188" s="81" t="s">
        <v>1293</v>
      </c>
      <c r="J188" s="3" t="s">
        <v>7</v>
      </c>
      <c r="Q188" s="3"/>
      <c r="R188" s="3" t="s">
        <v>152</v>
      </c>
      <c r="Y188" s="75">
        <f t="shared" si="0"/>
        <v>1</v>
      </c>
    </row>
    <row r="189" spans="1:25" ht="14.4">
      <c r="A189" s="3">
        <v>12</v>
      </c>
      <c r="B189" s="72" t="s">
        <v>1294</v>
      </c>
      <c r="C189" s="73">
        <v>2008</v>
      </c>
      <c r="D189" s="72" t="s">
        <v>1295</v>
      </c>
      <c r="E189" s="76" t="s">
        <v>1296</v>
      </c>
      <c r="J189" s="3" t="s">
        <v>7</v>
      </c>
      <c r="Q189" s="3"/>
      <c r="R189" s="3" t="s">
        <v>152</v>
      </c>
      <c r="Y189" s="75">
        <f t="shared" si="0"/>
        <v>1</v>
      </c>
    </row>
    <row r="190" spans="1:25" ht="14.4">
      <c r="A190" s="3">
        <v>12</v>
      </c>
      <c r="B190" s="72" t="s">
        <v>1297</v>
      </c>
      <c r="C190" s="72">
        <v>2010</v>
      </c>
      <c r="D190" s="72" t="s">
        <v>1298</v>
      </c>
      <c r="E190" s="76" t="s">
        <v>1299</v>
      </c>
      <c r="J190" s="3" t="s">
        <v>7</v>
      </c>
      <c r="Q190" s="3"/>
      <c r="R190" s="3" t="s">
        <v>152</v>
      </c>
      <c r="Y190" s="75">
        <f t="shared" si="0"/>
        <v>1</v>
      </c>
    </row>
    <row r="191" spans="1:25" ht="14.4">
      <c r="A191" s="3">
        <v>12</v>
      </c>
      <c r="B191" s="72" t="s">
        <v>1300</v>
      </c>
      <c r="C191" s="73">
        <v>2007</v>
      </c>
      <c r="D191" s="72" t="s">
        <v>1301</v>
      </c>
      <c r="E191" s="76" t="s">
        <v>1302</v>
      </c>
      <c r="J191" s="3" t="s">
        <v>7</v>
      </c>
      <c r="Q191" s="3"/>
      <c r="R191" s="3" t="s">
        <v>152</v>
      </c>
      <c r="Y191" s="75">
        <f t="shared" si="0"/>
        <v>1</v>
      </c>
    </row>
    <row r="192" spans="1:25" ht="14.4">
      <c r="A192" s="3">
        <v>12</v>
      </c>
      <c r="B192" s="72" t="s">
        <v>1303</v>
      </c>
      <c r="C192" s="73">
        <v>2011</v>
      </c>
      <c r="D192" s="72" t="s">
        <v>1304</v>
      </c>
      <c r="E192" s="81" t="s">
        <v>1305</v>
      </c>
      <c r="F192" s="52"/>
      <c r="G192" s="53" t="s">
        <v>7</v>
      </c>
      <c r="H192" s="52"/>
      <c r="I192" s="52"/>
      <c r="J192" s="52"/>
      <c r="K192" s="50"/>
      <c r="L192" s="50"/>
      <c r="M192" s="50"/>
      <c r="N192" s="50"/>
      <c r="O192" s="50"/>
      <c r="P192" s="50"/>
      <c r="R192" s="75" t="str">
        <f>IF(AND(F192&lt;&gt;"x",G192&lt;&gt;"x",H192&lt;&gt;"x",I192&lt;&gt;"x",J192&lt;&gt;"x",K192&lt;&gt;"x",L192&lt;&gt;"x",M192&lt;&gt;"x",N192&lt;&gt;"x",O192&lt;&gt;"x",P192&lt;&gt;"x", Q192&lt;&gt;"x"),"Yes","No")</f>
        <v>No</v>
      </c>
      <c r="Y192" s="75">
        <f t="shared" si="0"/>
        <v>1</v>
      </c>
    </row>
    <row r="193" spans="1:25" ht="14.4">
      <c r="A193" s="3">
        <v>12</v>
      </c>
      <c r="B193" s="72" t="s">
        <v>1306</v>
      </c>
      <c r="C193" s="73">
        <v>2001</v>
      </c>
      <c r="D193" s="72" t="s">
        <v>1307</v>
      </c>
      <c r="E193" s="76" t="s">
        <v>1308</v>
      </c>
      <c r="J193" s="3" t="s">
        <v>7</v>
      </c>
      <c r="Q193" s="3"/>
      <c r="R193" s="3" t="s">
        <v>152</v>
      </c>
      <c r="Y193" s="75">
        <f t="shared" si="0"/>
        <v>1</v>
      </c>
    </row>
    <row r="194" spans="1:25" ht="14.4">
      <c r="A194" s="3">
        <v>12</v>
      </c>
      <c r="B194" s="72" t="s">
        <v>1309</v>
      </c>
      <c r="C194" s="73">
        <v>1987</v>
      </c>
      <c r="D194" s="72" t="s">
        <v>1310</v>
      </c>
      <c r="E194" s="74" t="s">
        <v>1311</v>
      </c>
      <c r="J194" s="3" t="s">
        <v>7</v>
      </c>
      <c r="Q194" s="3"/>
      <c r="R194" s="3" t="s">
        <v>152</v>
      </c>
      <c r="Y194" s="75">
        <f t="shared" si="0"/>
        <v>1</v>
      </c>
    </row>
    <row r="195" spans="1:25" ht="14.4">
      <c r="A195" s="3">
        <v>12</v>
      </c>
      <c r="B195" s="72" t="s">
        <v>1312</v>
      </c>
      <c r="C195" s="73">
        <v>2003</v>
      </c>
      <c r="D195" s="72" t="s">
        <v>1313</v>
      </c>
      <c r="E195" s="74" t="s">
        <v>1314</v>
      </c>
      <c r="J195" s="3" t="s">
        <v>7</v>
      </c>
      <c r="Q195" s="3"/>
      <c r="R195" s="3" t="s">
        <v>152</v>
      </c>
      <c r="Y195" s="75">
        <f t="shared" si="0"/>
        <v>1</v>
      </c>
    </row>
    <row r="196" spans="1:25" ht="14.4">
      <c r="A196" s="3">
        <v>12</v>
      </c>
      <c r="B196" s="72" t="s">
        <v>1315</v>
      </c>
      <c r="C196" s="73">
        <v>1997</v>
      </c>
      <c r="D196" s="72" t="s">
        <v>1316</v>
      </c>
      <c r="E196" s="78" t="s">
        <v>1317</v>
      </c>
      <c r="J196" s="3" t="s">
        <v>7</v>
      </c>
      <c r="Q196" s="3"/>
      <c r="R196" s="3" t="s">
        <v>152</v>
      </c>
      <c r="Y196" s="75">
        <f t="shared" si="0"/>
        <v>1</v>
      </c>
    </row>
    <row r="197" spans="1:25" ht="14.4">
      <c r="A197" s="3">
        <v>12</v>
      </c>
      <c r="B197" s="72" t="s">
        <v>1318</v>
      </c>
      <c r="C197" s="73">
        <v>1998</v>
      </c>
      <c r="D197" s="72" t="s">
        <v>1319</v>
      </c>
      <c r="E197" s="78" t="s">
        <v>1320</v>
      </c>
      <c r="J197" s="3" t="s">
        <v>7</v>
      </c>
      <c r="Q197" s="3"/>
      <c r="R197" s="3" t="s">
        <v>152</v>
      </c>
      <c r="Y197" s="75">
        <f t="shared" si="0"/>
        <v>1</v>
      </c>
    </row>
    <row r="198" spans="1:25" ht="14.4">
      <c r="A198" s="3" t="s">
        <v>1321</v>
      </c>
      <c r="B198" s="72" t="s">
        <v>1322</v>
      </c>
      <c r="C198" s="73">
        <v>1998</v>
      </c>
      <c r="D198" s="72" t="s">
        <v>1323</v>
      </c>
      <c r="E198" s="78" t="s">
        <v>1324</v>
      </c>
      <c r="J198" s="3" t="s">
        <v>7</v>
      </c>
      <c r="Q198" s="3"/>
      <c r="R198" s="3" t="s">
        <v>152</v>
      </c>
      <c r="Y198" s="75">
        <f t="shared" si="0"/>
        <v>1</v>
      </c>
    </row>
    <row r="199" spans="1:25" ht="14.4">
      <c r="A199" s="3">
        <v>12</v>
      </c>
      <c r="B199" s="72" t="s">
        <v>1325</v>
      </c>
      <c r="C199" s="73">
        <v>2009</v>
      </c>
      <c r="D199" s="72" t="s">
        <v>1295</v>
      </c>
      <c r="E199" s="85" t="s">
        <v>1326</v>
      </c>
      <c r="J199" s="3" t="s">
        <v>7</v>
      </c>
      <c r="Q199" s="3"/>
      <c r="R199" s="3" t="s">
        <v>152</v>
      </c>
      <c r="Y199" s="75">
        <f t="shared" si="0"/>
        <v>1</v>
      </c>
    </row>
    <row r="200" spans="1:25" ht="14.4">
      <c r="A200" s="3">
        <v>12</v>
      </c>
      <c r="B200" s="72" t="s">
        <v>1327</v>
      </c>
      <c r="C200" s="72">
        <v>2001</v>
      </c>
      <c r="D200" s="72" t="s">
        <v>1328</v>
      </c>
      <c r="E200" s="85" t="s">
        <v>1329</v>
      </c>
      <c r="J200" s="3" t="s">
        <v>7</v>
      </c>
      <c r="Q200" s="3"/>
      <c r="R200" s="3" t="s">
        <v>152</v>
      </c>
      <c r="Y200" s="75">
        <f t="shared" si="0"/>
        <v>1</v>
      </c>
    </row>
    <row r="201" spans="1:25" ht="14.4">
      <c r="A201" s="3">
        <v>12</v>
      </c>
      <c r="B201" s="72" t="s">
        <v>1330</v>
      </c>
      <c r="C201" s="73">
        <v>2011</v>
      </c>
      <c r="D201" s="72" t="s">
        <v>1331</v>
      </c>
      <c r="E201" s="85" t="s">
        <v>1332</v>
      </c>
      <c r="F201" s="52"/>
      <c r="G201" s="52"/>
      <c r="H201" s="53" t="s">
        <v>7</v>
      </c>
      <c r="I201" s="52"/>
      <c r="J201" s="52"/>
      <c r="K201" s="50"/>
      <c r="L201" s="50"/>
      <c r="M201" s="50"/>
      <c r="N201" s="50"/>
      <c r="O201" s="50"/>
      <c r="P201" s="50"/>
      <c r="R201" s="75" t="str">
        <f>IF(AND(F201&lt;&gt;"x",G201&lt;&gt;"x",H201&lt;&gt;"x",I201&lt;&gt;"x",J201&lt;&gt;"x",K201&lt;&gt;"x",L201&lt;&gt;"x",M201&lt;&gt;"x",N201&lt;&gt;"x",O201&lt;&gt;"x",P201&lt;&gt;"x", Q201&lt;&gt;"x"),"Yes","No")</f>
        <v>No</v>
      </c>
      <c r="Y201" s="75">
        <f t="shared" si="0"/>
        <v>1</v>
      </c>
    </row>
    <row r="202" spans="1:25" ht="14.4">
      <c r="A202" s="3">
        <v>12</v>
      </c>
      <c r="B202" s="72" t="s">
        <v>1333</v>
      </c>
      <c r="C202" s="73">
        <v>1998</v>
      </c>
      <c r="D202" s="72" t="s">
        <v>1334</v>
      </c>
      <c r="E202" s="86" t="s">
        <v>1335</v>
      </c>
      <c r="J202" s="3" t="s">
        <v>7</v>
      </c>
      <c r="Q202" s="3"/>
      <c r="R202" s="3" t="s">
        <v>152</v>
      </c>
      <c r="Y202" s="75">
        <f t="shared" si="0"/>
        <v>1</v>
      </c>
    </row>
    <row r="203" spans="1:25" ht="14.4">
      <c r="A203" s="3">
        <v>12</v>
      </c>
      <c r="B203" s="72" t="s">
        <v>1336</v>
      </c>
      <c r="C203" s="73">
        <v>2008</v>
      </c>
      <c r="D203" s="72" t="s">
        <v>1337</v>
      </c>
      <c r="E203" s="86" t="s">
        <v>1338</v>
      </c>
      <c r="J203" s="3" t="s">
        <v>7</v>
      </c>
      <c r="Q203" s="3"/>
      <c r="R203" s="3" t="s">
        <v>152</v>
      </c>
      <c r="Y203" s="75">
        <f t="shared" si="0"/>
        <v>1</v>
      </c>
    </row>
    <row r="204" spans="1:25" ht="14.4">
      <c r="A204" s="3">
        <v>13</v>
      </c>
      <c r="B204" s="72" t="s">
        <v>1339</v>
      </c>
      <c r="C204" s="73">
        <v>2012</v>
      </c>
      <c r="D204" s="72" t="s">
        <v>1340</v>
      </c>
      <c r="E204" s="85" t="s">
        <v>1341</v>
      </c>
      <c r="F204" s="53" t="s">
        <v>7</v>
      </c>
      <c r="G204" s="53" t="s">
        <v>7</v>
      </c>
      <c r="H204" s="53" t="s">
        <v>7</v>
      </c>
      <c r="I204" s="52"/>
      <c r="J204" s="52"/>
      <c r="K204" s="50"/>
      <c r="L204" s="50"/>
      <c r="M204" s="50"/>
      <c r="N204" s="50"/>
      <c r="O204" s="50"/>
      <c r="P204" s="50"/>
      <c r="R204" s="75" t="str">
        <f t="shared" ref="R204:R205" si="9">IF(AND(F204&lt;&gt;"x",G204&lt;&gt;"x",H204&lt;&gt;"x",I204&lt;&gt;"x",J204&lt;&gt;"x",K204&lt;&gt;"x",L204&lt;&gt;"x",M204&lt;&gt;"x",N204&lt;&gt;"x",O204&lt;&gt;"x",P204&lt;&gt;"x", Q204&lt;&gt;"x"),"Yes","No")</f>
        <v>No</v>
      </c>
      <c r="Y204" s="75">
        <f t="shared" si="0"/>
        <v>1</v>
      </c>
    </row>
    <row r="205" spans="1:25" ht="14.4">
      <c r="A205" s="3">
        <v>13</v>
      </c>
      <c r="B205" s="72" t="s">
        <v>1342</v>
      </c>
      <c r="C205" s="73">
        <v>2011</v>
      </c>
      <c r="D205" s="72" t="s">
        <v>1343</v>
      </c>
      <c r="E205" s="86" t="s">
        <v>1344</v>
      </c>
      <c r="F205" s="52"/>
      <c r="G205" s="53" t="s">
        <v>7</v>
      </c>
      <c r="H205" s="52"/>
      <c r="I205" s="52"/>
      <c r="J205" s="52"/>
      <c r="K205" s="50"/>
      <c r="L205" s="50"/>
      <c r="M205" s="50"/>
      <c r="N205" s="50"/>
      <c r="O205" s="50"/>
      <c r="P205" s="50"/>
      <c r="R205" s="75" t="str">
        <f t="shared" si="9"/>
        <v>No</v>
      </c>
      <c r="Y205" s="75">
        <f t="shared" si="0"/>
        <v>1</v>
      </c>
    </row>
    <row r="206" spans="1:25" ht="14.4">
      <c r="A206" s="3">
        <v>13</v>
      </c>
      <c r="B206" s="72" t="s">
        <v>1345</v>
      </c>
      <c r="C206" s="80"/>
      <c r="D206" s="80"/>
      <c r="E206" s="91" t="s">
        <v>1346</v>
      </c>
      <c r="F206" s="52"/>
      <c r="G206" s="52"/>
      <c r="H206" s="52"/>
      <c r="I206" s="52"/>
      <c r="J206" s="52"/>
      <c r="K206" s="50"/>
      <c r="L206" s="50"/>
      <c r="M206" s="50"/>
      <c r="N206" s="50"/>
      <c r="O206" s="50"/>
      <c r="P206" s="50"/>
      <c r="Q206" s="3"/>
      <c r="R206" s="3" t="s">
        <v>152</v>
      </c>
      <c r="S206" s="3" t="s">
        <v>906</v>
      </c>
      <c r="Y206" s="75">
        <f t="shared" si="0"/>
        <v>1</v>
      </c>
    </row>
    <row r="207" spans="1:25" ht="14.4">
      <c r="A207" s="3">
        <v>13</v>
      </c>
      <c r="B207" s="72" t="s">
        <v>1347</v>
      </c>
      <c r="C207" s="73">
        <v>1992</v>
      </c>
      <c r="D207" s="72" t="s">
        <v>1348</v>
      </c>
      <c r="E207" s="86" t="s">
        <v>1349</v>
      </c>
      <c r="J207" s="3" t="s">
        <v>7</v>
      </c>
      <c r="Q207" s="3"/>
      <c r="R207" s="3" t="s">
        <v>152</v>
      </c>
      <c r="Y207" s="75">
        <f t="shared" si="0"/>
        <v>1</v>
      </c>
    </row>
    <row r="208" spans="1:25" ht="14.4">
      <c r="A208" s="3">
        <v>13</v>
      </c>
      <c r="B208" s="72" t="s">
        <v>1350</v>
      </c>
      <c r="C208" s="73">
        <v>2010</v>
      </c>
      <c r="D208" s="72" t="s">
        <v>1351</v>
      </c>
      <c r="E208" s="97" t="s">
        <v>1352</v>
      </c>
      <c r="J208" s="3" t="s">
        <v>7</v>
      </c>
      <c r="Q208" s="3"/>
      <c r="R208" s="3" t="s">
        <v>152</v>
      </c>
      <c r="Y208" s="75">
        <f t="shared" si="0"/>
        <v>1</v>
      </c>
    </row>
    <row r="209" spans="1:25" ht="14.4">
      <c r="A209" s="3">
        <v>13</v>
      </c>
      <c r="B209" s="72" t="s">
        <v>1353</v>
      </c>
      <c r="C209" s="73">
        <v>2008</v>
      </c>
      <c r="D209" s="72" t="s">
        <v>1354</v>
      </c>
      <c r="E209" s="86" t="s">
        <v>1355</v>
      </c>
      <c r="J209" s="3" t="s">
        <v>7</v>
      </c>
      <c r="Q209" s="3"/>
      <c r="R209" s="3" t="s">
        <v>152</v>
      </c>
      <c r="Y209" s="75">
        <f t="shared" si="0"/>
        <v>1</v>
      </c>
    </row>
    <row r="210" spans="1:25" ht="14.4">
      <c r="A210" s="3">
        <v>13</v>
      </c>
      <c r="B210" s="72" t="s">
        <v>1356</v>
      </c>
      <c r="C210" s="73">
        <v>2007</v>
      </c>
      <c r="D210" s="72" t="s">
        <v>1357</v>
      </c>
      <c r="E210" s="86" t="s">
        <v>1358</v>
      </c>
      <c r="J210" s="3" t="s">
        <v>7</v>
      </c>
      <c r="Q210" s="3"/>
      <c r="R210" s="3" t="s">
        <v>152</v>
      </c>
      <c r="Y210" s="75">
        <f t="shared" si="0"/>
        <v>1</v>
      </c>
    </row>
    <row r="211" spans="1:25" ht="14.4">
      <c r="A211" s="3">
        <v>13</v>
      </c>
      <c r="B211" s="72" t="s">
        <v>1359</v>
      </c>
      <c r="C211" s="73">
        <v>2010</v>
      </c>
      <c r="D211" s="72" t="s">
        <v>1360</v>
      </c>
      <c r="E211" s="85" t="s">
        <v>1361</v>
      </c>
      <c r="J211" s="3" t="s">
        <v>7</v>
      </c>
      <c r="Q211" s="3"/>
      <c r="R211" s="3" t="s">
        <v>152</v>
      </c>
      <c r="Y211" s="75">
        <f t="shared" si="0"/>
        <v>1</v>
      </c>
    </row>
    <row r="212" spans="1:25" ht="14.4">
      <c r="A212" s="3">
        <v>13</v>
      </c>
      <c r="B212" s="72" t="s">
        <v>1362</v>
      </c>
      <c r="C212" s="73">
        <v>2013</v>
      </c>
      <c r="D212" s="72" t="s">
        <v>1363</v>
      </c>
      <c r="E212" s="76" t="s">
        <v>1364</v>
      </c>
      <c r="F212" s="52"/>
      <c r="G212" s="53" t="s">
        <v>7</v>
      </c>
      <c r="H212" s="52"/>
      <c r="I212" s="52"/>
      <c r="J212" s="52"/>
      <c r="K212" s="50"/>
      <c r="L212" s="50"/>
      <c r="M212" s="50"/>
      <c r="N212" s="50"/>
      <c r="O212" s="50"/>
      <c r="P212" s="50"/>
      <c r="R212" s="75" t="str">
        <f>IF(AND(F212&lt;&gt;"x",G212&lt;&gt;"x",H212&lt;&gt;"x",I212&lt;&gt;"x",J212&lt;&gt;"x",K212&lt;&gt;"x",L212&lt;&gt;"x",M212&lt;&gt;"x",N212&lt;&gt;"x",O212&lt;&gt;"x",P212&lt;&gt;"x", Q212&lt;&gt;"x"),"Yes","No")</f>
        <v>No</v>
      </c>
      <c r="Y212" s="75">
        <f t="shared" si="0"/>
        <v>1</v>
      </c>
    </row>
    <row r="213" spans="1:25" ht="14.4">
      <c r="A213" s="3">
        <v>13</v>
      </c>
      <c r="B213" s="72" t="s">
        <v>1365</v>
      </c>
      <c r="C213" s="73">
        <v>1999</v>
      </c>
      <c r="D213" s="72" t="s">
        <v>1366</v>
      </c>
      <c r="E213" s="76" t="s">
        <v>1367</v>
      </c>
      <c r="J213" s="3" t="s">
        <v>7</v>
      </c>
      <c r="Q213" s="3"/>
      <c r="R213" s="3" t="s">
        <v>152</v>
      </c>
      <c r="Y213" s="75">
        <f t="shared" si="0"/>
        <v>1</v>
      </c>
    </row>
    <row r="214" spans="1:25" ht="14.4">
      <c r="A214" s="3">
        <v>13</v>
      </c>
      <c r="B214" s="72" t="s">
        <v>1368</v>
      </c>
      <c r="C214" s="73">
        <v>2000</v>
      </c>
      <c r="D214" s="72" t="s">
        <v>1369</v>
      </c>
      <c r="E214" s="78" t="s">
        <v>1370</v>
      </c>
      <c r="J214" s="3" t="s">
        <v>7</v>
      </c>
      <c r="Q214" s="3"/>
      <c r="R214" s="3" t="s">
        <v>152</v>
      </c>
      <c r="Y214" s="75">
        <f t="shared" si="0"/>
        <v>1</v>
      </c>
    </row>
    <row r="215" spans="1:25" ht="14.4">
      <c r="A215" s="3">
        <v>13</v>
      </c>
      <c r="B215" s="72" t="s">
        <v>1371</v>
      </c>
      <c r="C215" s="73">
        <v>2019</v>
      </c>
      <c r="D215" s="72" t="s">
        <v>1372</v>
      </c>
      <c r="E215" s="74" t="s">
        <v>1373</v>
      </c>
      <c r="F215" s="52"/>
      <c r="G215" s="52"/>
      <c r="H215" s="53" t="s">
        <v>7</v>
      </c>
      <c r="I215" s="52"/>
      <c r="J215" s="52"/>
      <c r="K215" s="50"/>
      <c r="L215" s="50"/>
      <c r="M215" s="50"/>
      <c r="N215" s="50"/>
      <c r="O215" s="50"/>
      <c r="P215" s="50"/>
      <c r="R215" s="75" t="str">
        <f t="shared" ref="R215:R216" si="10">IF(AND(F215&lt;&gt;"x",G215&lt;&gt;"x",H215&lt;&gt;"x",I215&lt;&gt;"x",J215&lt;&gt;"x",K215&lt;&gt;"x",L215&lt;&gt;"x",M215&lt;&gt;"x",N215&lt;&gt;"x",O215&lt;&gt;"x",P215&lt;&gt;"x", Q215&lt;&gt;"x"),"Yes","No")</f>
        <v>No</v>
      </c>
      <c r="Y215" s="75">
        <f t="shared" si="0"/>
        <v>1</v>
      </c>
    </row>
    <row r="216" spans="1:25" ht="14.4">
      <c r="A216" s="3">
        <v>13</v>
      </c>
      <c r="B216" s="72" t="s">
        <v>1374</v>
      </c>
      <c r="C216" s="73">
        <v>2016</v>
      </c>
      <c r="D216" s="72" t="s">
        <v>1375</v>
      </c>
      <c r="E216" s="74" t="s">
        <v>1376</v>
      </c>
      <c r="F216" s="52"/>
      <c r="G216" s="52"/>
      <c r="H216" s="52"/>
      <c r="I216" s="52"/>
      <c r="J216" s="52"/>
      <c r="K216" s="50"/>
      <c r="L216" s="50"/>
      <c r="M216" s="50"/>
      <c r="N216" s="51" t="s">
        <v>7</v>
      </c>
      <c r="O216" s="50"/>
      <c r="P216" s="50"/>
      <c r="R216" s="75" t="str">
        <f t="shared" si="10"/>
        <v>No</v>
      </c>
      <c r="Y216" s="75">
        <f t="shared" si="0"/>
        <v>1</v>
      </c>
    </row>
    <row r="217" spans="1:25" ht="14.4">
      <c r="A217" s="3">
        <v>13</v>
      </c>
      <c r="B217" s="72" t="s">
        <v>1377</v>
      </c>
      <c r="C217" s="73">
        <v>2009</v>
      </c>
      <c r="D217" s="72" t="s">
        <v>1378</v>
      </c>
      <c r="E217" s="76" t="s">
        <v>1379</v>
      </c>
      <c r="J217" s="3" t="s">
        <v>7</v>
      </c>
      <c r="Q217" s="3"/>
      <c r="R217" s="3" t="s">
        <v>152</v>
      </c>
      <c r="Y217" s="75">
        <f t="shared" si="0"/>
        <v>1</v>
      </c>
    </row>
    <row r="218" spans="1:25" ht="14.4">
      <c r="A218" s="3">
        <v>13</v>
      </c>
      <c r="B218" s="72" t="s">
        <v>1380</v>
      </c>
      <c r="C218" s="73">
        <v>2014</v>
      </c>
      <c r="D218" s="72" t="s">
        <v>1381</v>
      </c>
      <c r="E218" s="76" t="s">
        <v>1382</v>
      </c>
      <c r="F218" s="52"/>
      <c r="G218" s="53" t="s">
        <v>7</v>
      </c>
      <c r="H218" s="52"/>
      <c r="I218" s="52"/>
      <c r="J218" s="52"/>
      <c r="K218" s="50"/>
      <c r="L218" s="50"/>
      <c r="M218" s="50"/>
      <c r="N218" s="50"/>
      <c r="O218" s="50"/>
      <c r="P218" s="50"/>
      <c r="R218" s="75" t="str">
        <f t="shared" ref="R218:R221" si="11">IF(AND(F218&lt;&gt;"x",G218&lt;&gt;"x",H218&lt;&gt;"x",I218&lt;&gt;"x",J218&lt;&gt;"x",K218&lt;&gt;"x",L218&lt;&gt;"x",M218&lt;&gt;"x",N218&lt;&gt;"x",O218&lt;&gt;"x",P218&lt;&gt;"x", Q218&lt;&gt;"x"),"Yes","No")</f>
        <v>No</v>
      </c>
      <c r="Y218" s="75">
        <f t="shared" si="0"/>
        <v>1</v>
      </c>
    </row>
    <row r="219" spans="1:25" ht="14.4">
      <c r="A219" s="3">
        <v>13</v>
      </c>
      <c r="B219" s="72" t="s">
        <v>1383</v>
      </c>
      <c r="C219" s="73">
        <v>2018</v>
      </c>
      <c r="D219" s="72" t="s">
        <v>1384</v>
      </c>
      <c r="E219" s="76" t="s">
        <v>1385</v>
      </c>
      <c r="F219" s="52"/>
      <c r="G219" s="53" t="s">
        <v>7</v>
      </c>
      <c r="H219" s="52"/>
      <c r="I219" s="52"/>
      <c r="J219" s="52"/>
      <c r="K219" s="50"/>
      <c r="L219" s="50"/>
      <c r="M219" s="50"/>
      <c r="N219" s="50"/>
      <c r="O219" s="50"/>
      <c r="P219" s="50"/>
      <c r="R219" s="75" t="str">
        <f t="shared" si="11"/>
        <v>No</v>
      </c>
      <c r="Y219" s="75">
        <f t="shared" si="0"/>
        <v>1</v>
      </c>
    </row>
    <row r="220" spans="1:25" ht="14.4">
      <c r="A220" s="3">
        <v>13</v>
      </c>
      <c r="B220" s="72" t="s">
        <v>1386</v>
      </c>
      <c r="C220" s="73">
        <v>2016</v>
      </c>
      <c r="D220" s="72" t="s">
        <v>1387</v>
      </c>
      <c r="E220" s="78" t="s">
        <v>1388</v>
      </c>
      <c r="F220" s="52"/>
      <c r="G220" s="52"/>
      <c r="H220" s="53" t="s">
        <v>7</v>
      </c>
      <c r="I220" s="52"/>
      <c r="J220" s="52"/>
      <c r="K220" s="50"/>
      <c r="L220" s="50"/>
      <c r="M220" s="50"/>
      <c r="N220" s="50"/>
      <c r="O220" s="50"/>
      <c r="P220" s="50"/>
      <c r="R220" s="75" t="str">
        <f t="shared" si="11"/>
        <v>No</v>
      </c>
      <c r="Y220" s="75">
        <f t="shared" si="0"/>
        <v>1</v>
      </c>
    </row>
    <row r="221" spans="1:25" ht="14.4">
      <c r="A221" s="3">
        <v>13</v>
      </c>
      <c r="B221" s="72" t="s">
        <v>1389</v>
      </c>
      <c r="C221" s="73">
        <v>2011</v>
      </c>
      <c r="D221" s="72" t="s">
        <v>1390</v>
      </c>
      <c r="E221" s="76" t="s">
        <v>1391</v>
      </c>
      <c r="F221" s="52"/>
      <c r="G221" s="53" t="s">
        <v>7</v>
      </c>
      <c r="H221" s="53"/>
      <c r="I221" s="52"/>
      <c r="J221" s="52"/>
      <c r="K221" s="50"/>
      <c r="L221" s="50"/>
      <c r="M221" s="50"/>
      <c r="N221" s="50"/>
      <c r="O221" s="50"/>
      <c r="P221" s="50"/>
      <c r="R221" s="75" t="str">
        <f t="shared" si="11"/>
        <v>No</v>
      </c>
      <c r="Y221" s="75">
        <f t="shared" si="0"/>
        <v>1</v>
      </c>
    </row>
    <row r="222" spans="1:25" ht="14.4">
      <c r="A222" s="3">
        <v>13</v>
      </c>
      <c r="B222" s="72" t="s">
        <v>1392</v>
      </c>
      <c r="C222" s="73">
        <v>1998</v>
      </c>
      <c r="D222" s="72" t="s">
        <v>1393</v>
      </c>
      <c r="E222" s="76" t="s">
        <v>1394</v>
      </c>
      <c r="J222" s="3" t="s">
        <v>7</v>
      </c>
      <c r="Q222" s="3"/>
      <c r="R222" s="3" t="s">
        <v>152</v>
      </c>
      <c r="Y222" s="75">
        <f t="shared" si="0"/>
        <v>1</v>
      </c>
    </row>
    <row r="223" spans="1:25" ht="14.4">
      <c r="A223" s="3">
        <v>13</v>
      </c>
      <c r="B223" s="72" t="s">
        <v>1395</v>
      </c>
      <c r="C223" s="73">
        <v>2004</v>
      </c>
      <c r="D223" s="72" t="s">
        <v>1396</v>
      </c>
      <c r="E223" s="98" t="s">
        <v>1397</v>
      </c>
      <c r="J223" s="3" t="s">
        <v>7</v>
      </c>
      <c r="Q223" s="3"/>
      <c r="R223" s="3" t="s">
        <v>152</v>
      </c>
      <c r="Y223" s="75">
        <f t="shared" si="0"/>
        <v>1</v>
      </c>
    </row>
    <row r="224" spans="1:25" ht="14.4">
      <c r="A224" s="3">
        <v>13</v>
      </c>
      <c r="B224" s="72" t="s">
        <v>1398</v>
      </c>
      <c r="C224" s="73">
        <v>2010</v>
      </c>
      <c r="D224" s="72" t="s">
        <v>1399</v>
      </c>
      <c r="E224" s="76" t="s">
        <v>1400</v>
      </c>
      <c r="J224" s="3" t="s">
        <v>7</v>
      </c>
      <c r="Q224" s="3"/>
      <c r="R224" s="3" t="s">
        <v>152</v>
      </c>
      <c r="Y224" s="75">
        <f t="shared" si="0"/>
        <v>1</v>
      </c>
    </row>
    <row r="225" spans="1:25" ht="14.4">
      <c r="A225" s="3">
        <v>13</v>
      </c>
      <c r="B225" s="72" t="s">
        <v>1401</v>
      </c>
      <c r="C225" s="73">
        <v>1999</v>
      </c>
      <c r="D225" s="72" t="s">
        <v>1402</v>
      </c>
      <c r="E225" s="78" t="s">
        <v>1403</v>
      </c>
      <c r="J225" s="3" t="s">
        <v>7</v>
      </c>
      <c r="Q225" s="3"/>
      <c r="R225" s="3" t="s">
        <v>152</v>
      </c>
      <c r="Y225" s="75">
        <f t="shared" si="0"/>
        <v>1</v>
      </c>
    </row>
    <row r="226" spans="1:25" ht="14.4">
      <c r="A226" s="3">
        <v>13</v>
      </c>
      <c r="B226" s="72" t="s">
        <v>1404</v>
      </c>
      <c r="C226" s="73">
        <v>2016</v>
      </c>
      <c r="D226" s="72" t="s">
        <v>1405</v>
      </c>
      <c r="E226" s="79" t="s">
        <v>1406</v>
      </c>
      <c r="F226" s="52"/>
      <c r="G226" s="52"/>
      <c r="H226" s="52"/>
      <c r="I226" s="52"/>
      <c r="J226" s="52"/>
      <c r="K226" s="50"/>
      <c r="L226" s="50"/>
      <c r="M226" s="50"/>
      <c r="N226" s="51" t="s">
        <v>7</v>
      </c>
      <c r="O226" s="50"/>
      <c r="P226" s="50"/>
      <c r="R226" s="75" t="str">
        <f>IF(AND(F226&lt;&gt;"x",G226&lt;&gt;"x",H226&lt;&gt;"x",I226&lt;&gt;"x",J226&lt;&gt;"x",K226&lt;&gt;"x",L226&lt;&gt;"x",M226&lt;&gt;"x",N226&lt;&gt;"x",O226&lt;&gt;"x",P226&lt;&gt;"x", Q226&lt;&gt;"x"),"Yes","No")</f>
        <v>No</v>
      </c>
      <c r="Y226" s="75">
        <f t="shared" si="0"/>
        <v>1</v>
      </c>
    </row>
    <row r="227" spans="1:25" ht="14.4">
      <c r="A227" s="3">
        <v>13</v>
      </c>
      <c r="B227" s="72" t="s">
        <v>1407</v>
      </c>
      <c r="C227" s="73">
        <v>2018</v>
      </c>
      <c r="D227" s="72" t="s">
        <v>1408</v>
      </c>
      <c r="E227" s="81" t="s">
        <v>1409</v>
      </c>
      <c r="F227" s="52"/>
      <c r="G227" s="52"/>
      <c r="H227" s="53" t="s">
        <v>7</v>
      </c>
      <c r="I227" s="52"/>
      <c r="J227" s="52"/>
      <c r="K227" s="50"/>
      <c r="L227" s="50"/>
      <c r="M227" s="50"/>
      <c r="N227" s="50"/>
      <c r="O227" s="50"/>
      <c r="P227" s="50"/>
      <c r="R227" s="3" t="s">
        <v>152</v>
      </c>
      <c r="Y227" s="75">
        <f t="shared" si="0"/>
        <v>1</v>
      </c>
    </row>
    <row r="228" spans="1:25" ht="14.4">
      <c r="A228" s="3">
        <v>13</v>
      </c>
      <c r="B228" s="72" t="s">
        <v>1410</v>
      </c>
      <c r="C228" s="73">
        <v>2019</v>
      </c>
      <c r="D228" s="72" t="s">
        <v>1411</v>
      </c>
      <c r="E228" s="81" t="s">
        <v>1412</v>
      </c>
      <c r="F228" s="52"/>
      <c r="G228" s="52"/>
      <c r="H228" s="53" t="s">
        <v>7</v>
      </c>
      <c r="I228" s="52"/>
      <c r="J228" s="52"/>
      <c r="K228" s="50"/>
      <c r="L228" s="50"/>
      <c r="M228" s="50"/>
      <c r="N228" s="50"/>
      <c r="O228" s="50"/>
      <c r="P228" s="50"/>
      <c r="R228" s="3" t="s">
        <v>152</v>
      </c>
      <c r="S228" s="3" t="s">
        <v>1413</v>
      </c>
      <c r="Y228" s="75">
        <f t="shared" si="0"/>
        <v>1</v>
      </c>
    </row>
    <row r="229" spans="1:25" ht="14.4">
      <c r="A229" s="3">
        <v>13</v>
      </c>
      <c r="B229" s="72" t="s">
        <v>1414</v>
      </c>
      <c r="C229" s="73">
        <v>2015</v>
      </c>
      <c r="D229" s="72" t="s">
        <v>1415</v>
      </c>
      <c r="E229" s="79" t="s">
        <v>1416</v>
      </c>
      <c r="F229" s="52"/>
      <c r="G229" s="53" t="s">
        <v>7</v>
      </c>
      <c r="H229" s="53" t="s">
        <v>7</v>
      </c>
      <c r="I229" s="52"/>
      <c r="J229" s="52"/>
      <c r="K229" s="50"/>
      <c r="L229" s="50"/>
      <c r="M229" s="50"/>
      <c r="N229" s="50"/>
      <c r="O229" s="50"/>
      <c r="P229" s="50"/>
      <c r="R229" s="3" t="s">
        <v>152</v>
      </c>
      <c r="Y229" s="75">
        <f t="shared" si="0"/>
        <v>1</v>
      </c>
    </row>
    <row r="230" spans="1:25" ht="14.4">
      <c r="A230" s="3">
        <v>13</v>
      </c>
      <c r="B230" s="72" t="s">
        <v>1417</v>
      </c>
      <c r="C230" s="73">
        <v>2009</v>
      </c>
      <c r="D230" s="72" t="s">
        <v>1418</v>
      </c>
      <c r="E230" s="79" t="s">
        <v>1419</v>
      </c>
      <c r="J230" s="3" t="s">
        <v>7</v>
      </c>
      <c r="Q230" s="3"/>
      <c r="R230" s="3" t="s">
        <v>152</v>
      </c>
      <c r="Y230" s="75">
        <f t="shared" si="0"/>
        <v>1</v>
      </c>
    </row>
    <row r="231" spans="1:25" ht="14.4">
      <c r="A231" s="3">
        <v>13</v>
      </c>
      <c r="B231" s="72" t="s">
        <v>1420</v>
      </c>
      <c r="C231" s="73">
        <v>2009</v>
      </c>
      <c r="D231" s="72" t="s">
        <v>1421</v>
      </c>
      <c r="E231" s="81" t="s">
        <v>1422</v>
      </c>
      <c r="J231" s="3" t="s">
        <v>7</v>
      </c>
      <c r="Q231" s="3"/>
      <c r="R231" s="3" t="s">
        <v>152</v>
      </c>
      <c r="Y231" s="75">
        <f t="shared" si="0"/>
        <v>1</v>
      </c>
    </row>
    <row r="232" spans="1:25" ht="14.4">
      <c r="A232" s="3">
        <v>13</v>
      </c>
      <c r="B232" s="72" t="s">
        <v>1423</v>
      </c>
      <c r="C232" s="73">
        <v>2014</v>
      </c>
      <c r="D232" s="72" t="s">
        <v>1424</v>
      </c>
      <c r="E232" s="81" t="s">
        <v>1425</v>
      </c>
      <c r="F232" s="52"/>
      <c r="G232" s="53" t="s">
        <v>7</v>
      </c>
      <c r="H232" s="52"/>
      <c r="I232" s="52"/>
      <c r="J232" s="52"/>
      <c r="K232" s="50"/>
      <c r="L232" s="50"/>
      <c r="M232" s="50"/>
      <c r="N232" s="50"/>
      <c r="O232" s="50"/>
      <c r="P232" s="50"/>
      <c r="R232" s="3" t="s">
        <v>152</v>
      </c>
      <c r="Y232" s="75">
        <f t="shared" si="0"/>
        <v>1</v>
      </c>
    </row>
    <row r="233" spans="1:25" ht="14.4">
      <c r="A233" s="3">
        <v>13</v>
      </c>
      <c r="B233" s="72" t="s">
        <v>1426</v>
      </c>
      <c r="C233" s="73">
        <v>2019</v>
      </c>
      <c r="D233" s="72" t="s">
        <v>1427</v>
      </c>
      <c r="E233" s="74" t="s">
        <v>1428</v>
      </c>
      <c r="F233" s="52"/>
      <c r="G233" s="53" t="s">
        <v>7</v>
      </c>
      <c r="H233" s="52"/>
      <c r="I233" s="52"/>
      <c r="J233" s="52"/>
      <c r="K233" s="50"/>
      <c r="L233" s="50"/>
      <c r="M233" s="50"/>
      <c r="N233" s="50"/>
      <c r="O233" s="50"/>
      <c r="P233" s="50"/>
      <c r="R233" s="3" t="s">
        <v>152</v>
      </c>
      <c r="Y233" s="75">
        <f t="shared" si="0"/>
        <v>1</v>
      </c>
    </row>
    <row r="234" spans="1:25" ht="13.2">
      <c r="A234" s="3">
        <v>14</v>
      </c>
      <c r="B234" s="3" t="s">
        <v>1429</v>
      </c>
      <c r="D234" s="59" t="s">
        <v>1430</v>
      </c>
      <c r="E234" s="30" t="s">
        <v>1431</v>
      </c>
      <c r="F234" s="52"/>
      <c r="G234" s="53" t="s">
        <v>7</v>
      </c>
      <c r="H234" s="53" t="s">
        <v>7</v>
      </c>
      <c r="I234" s="52"/>
      <c r="J234" s="52"/>
      <c r="K234" s="50"/>
      <c r="L234" s="50"/>
      <c r="M234" s="50"/>
      <c r="N234" s="50"/>
      <c r="O234" s="50"/>
      <c r="P234" s="50"/>
      <c r="R234" s="3" t="s">
        <v>152</v>
      </c>
      <c r="Y234" s="75">
        <f t="shared" si="0"/>
        <v>1</v>
      </c>
    </row>
    <row r="235" spans="1:25" ht="13.2">
      <c r="A235" s="3">
        <v>14</v>
      </c>
      <c r="B235" s="3" t="s">
        <v>1432</v>
      </c>
      <c r="C235" s="3">
        <v>2010</v>
      </c>
      <c r="D235" s="59" t="s">
        <v>1433</v>
      </c>
      <c r="E235" s="37" t="s">
        <v>1434</v>
      </c>
      <c r="J235" s="3" t="s">
        <v>7</v>
      </c>
      <c r="Q235" s="3"/>
      <c r="R235" s="3" t="s">
        <v>152</v>
      </c>
      <c r="Y235" s="75">
        <f t="shared" si="0"/>
        <v>1</v>
      </c>
    </row>
    <row r="236" spans="1:25" ht="13.2">
      <c r="A236" s="3">
        <v>14</v>
      </c>
      <c r="B236" s="3" t="s">
        <v>1435</v>
      </c>
      <c r="D236" s="59" t="s">
        <v>1436</v>
      </c>
      <c r="E236" s="30" t="s">
        <v>1437</v>
      </c>
      <c r="F236" s="53" t="s">
        <v>7</v>
      </c>
      <c r="G236" s="52"/>
      <c r="H236" s="52"/>
      <c r="I236" s="52"/>
      <c r="J236" s="52"/>
      <c r="K236" s="50"/>
      <c r="L236" s="50"/>
      <c r="M236" s="50"/>
      <c r="N236" s="50"/>
      <c r="O236" s="50"/>
      <c r="P236" s="50"/>
      <c r="R236" s="3" t="s">
        <v>152</v>
      </c>
      <c r="S236" s="3" t="s">
        <v>1438</v>
      </c>
      <c r="Y236" s="75">
        <f t="shared" si="0"/>
        <v>1</v>
      </c>
    </row>
    <row r="237" spans="1:25" ht="13.2">
      <c r="A237" s="3">
        <v>14</v>
      </c>
      <c r="B237" s="3" t="s">
        <v>1439</v>
      </c>
      <c r="D237" s="59" t="s">
        <v>1440</v>
      </c>
      <c r="E237" s="30" t="s">
        <v>1441</v>
      </c>
      <c r="F237" s="52"/>
      <c r="G237" s="52"/>
      <c r="H237" s="52"/>
      <c r="I237" s="52"/>
      <c r="J237" s="52"/>
      <c r="K237" s="50"/>
      <c r="L237" s="50"/>
      <c r="M237" s="50"/>
      <c r="N237" s="50"/>
      <c r="O237" s="50"/>
      <c r="P237" s="50"/>
      <c r="Q237" s="3" t="s">
        <v>7</v>
      </c>
      <c r="R237" s="3" t="s">
        <v>152</v>
      </c>
      <c r="S237" s="3" t="s">
        <v>1442</v>
      </c>
      <c r="Y237" s="75">
        <f t="shared" si="0"/>
        <v>1</v>
      </c>
    </row>
    <row r="238" spans="1:25" ht="13.2">
      <c r="A238" s="3">
        <v>14</v>
      </c>
      <c r="B238" s="3" t="s">
        <v>1443</v>
      </c>
      <c r="C238" s="3">
        <v>1990</v>
      </c>
      <c r="D238" s="59" t="s">
        <v>1444</v>
      </c>
      <c r="E238" s="30" t="s">
        <v>1445</v>
      </c>
      <c r="F238" s="52"/>
      <c r="G238" s="52"/>
      <c r="H238" s="52"/>
      <c r="I238" s="52"/>
      <c r="J238" s="53" t="s">
        <v>7</v>
      </c>
      <c r="K238" s="50"/>
      <c r="L238" s="50"/>
      <c r="M238" s="50"/>
      <c r="N238" s="50"/>
      <c r="O238" s="50"/>
      <c r="P238" s="50"/>
      <c r="R238" s="3" t="s">
        <v>152</v>
      </c>
      <c r="Y238" s="75">
        <f t="shared" si="0"/>
        <v>1</v>
      </c>
    </row>
    <row r="239" spans="1:25" ht="13.2">
      <c r="A239" s="3">
        <v>14</v>
      </c>
      <c r="B239" s="3" t="s">
        <v>1446</v>
      </c>
      <c r="D239" s="59" t="s">
        <v>1440</v>
      </c>
      <c r="E239" s="30" t="s">
        <v>1447</v>
      </c>
      <c r="F239" s="53" t="s">
        <v>7</v>
      </c>
      <c r="G239" s="52"/>
      <c r="H239" s="52"/>
      <c r="I239" s="52"/>
      <c r="J239" s="52"/>
      <c r="K239" s="50"/>
      <c r="L239" s="50"/>
      <c r="M239" s="50"/>
      <c r="N239" s="50"/>
      <c r="O239" s="50"/>
      <c r="P239" s="50"/>
      <c r="Q239" s="3"/>
      <c r="R239" s="75" t="str">
        <f>IF(AND(F239&lt;&gt;"x",G239&lt;&gt;"x",H239&lt;&gt;"x",I239&lt;&gt;"x",J239&lt;&gt;"x",K239&lt;&gt;"x",L239&lt;&gt;"x",M239&lt;&gt;"x",N239&lt;&gt;"x",O239&lt;&gt;"x",P239&lt;&gt;"x", Q239&lt;&gt;"x"),"Yes","No")</f>
        <v>No</v>
      </c>
      <c r="S239" s="3" t="s">
        <v>1448</v>
      </c>
      <c r="Y239" s="75">
        <f t="shared" si="0"/>
        <v>1</v>
      </c>
    </row>
    <row r="240" spans="1:25" ht="13.2">
      <c r="A240" s="3">
        <v>14</v>
      </c>
      <c r="B240" s="3" t="s">
        <v>1449</v>
      </c>
      <c r="D240" s="59" t="s">
        <v>1450</v>
      </c>
      <c r="E240" s="30" t="s">
        <v>1451</v>
      </c>
      <c r="F240" s="53" t="s">
        <v>7</v>
      </c>
      <c r="G240" s="52"/>
      <c r="H240" s="52"/>
      <c r="I240" s="52"/>
      <c r="J240" s="52"/>
      <c r="K240" s="50"/>
      <c r="L240" s="50"/>
      <c r="M240" s="50"/>
      <c r="N240" s="50"/>
      <c r="O240" s="50"/>
      <c r="P240" s="50"/>
      <c r="R240" s="3" t="s">
        <v>152</v>
      </c>
      <c r="Y240" s="75">
        <f t="shared" si="0"/>
        <v>1</v>
      </c>
    </row>
    <row r="241" spans="1:25" ht="13.2">
      <c r="A241" s="3">
        <v>14</v>
      </c>
      <c r="B241" s="3" t="s">
        <v>1452</v>
      </c>
      <c r="D241" s="59" t="s">
        <v>1453</v>
      </c>
      <c r="E241" s="30" t="s">
        <v>1454</v>
      </c>
      <c r="F241" s="52"/>
      <c r="G241" s="52"/>
      <c r="H241" s="53" t="s">
        <v>7</v>
      </c>
      <c r="I241" s="52"/>
      <c r="J241" s="52"/>
      <c r="K241" s="50"/>
      <c r="L241" s="50"/>
      <c r="M241" s="50"/>
      <c r="N241" s="50"/>
      <c r="O241" s="50"/>
      <c r="P241" s="50"/>
      <c r="R241" s="3" t="s">
        <v>152</v>
      </c>
      <c r="Y241" s="75">
        <f t="shared" si="0"/>
        <v>1</v>
      </c>
    </row>
    <row r="242" spans="1:25" ht="13.2">
      <c r="A242" s="3">
        <v>14</v>
      </c>
      <c r="B242" s="3" t="s">
        <v>1455</v>
      </c>
      <c r="C242" s="3">
        <v>1997</v>
      </c>
      <c r="D242" s="59" t="s">
        <v>1456</v>
      </c>
      <c r="E242" s="30" t="s">
        <v>1457</v>
      </c>
      <c r="F242" s="52"/>
      <c r="G242" s="52"/>
      <c r="H242" s="52"/>
      <c r="I242" s="52"/>
      <c r="J242" s="53" t="s">
        <v>7</v>
      </c>
      <c r="K242" s="50"/>
      <c r="L242" s="50"/>
      <c r="M242" s="50"/>
      <c r="N242" s="50"/>
      <c r="O242" s="50"/>
      <c r="P242" s="50"/>
      <c r="Q242" s="3"/>
      <c r="R242" s="3" t="s">
        <v>152</v>
      </c>
      <c r="Y242" s="75">
        <f t="shared" si="0"/>
        <v>1</v>
      </c>
    </row>
    <row r="243" spans="1:25" ht="13.2">
      <c r="A243" s="3">
        <v>14</v>
      </c>
      <c r="B243" s="3" t="s">
        <v>1458</v>
      </c>
      <c r="C243" s="3">
        <v>2005</v>
      </c>
      <c r="D243" s="59" t="s">
        <v>1459</v>
      </c>
      <c r="E243" s="37" t="s">
        <v>1460</v>
      </c>
      <c r="J243" s="3" t="s">
        <v>7</v>
      </c>
      <c r="Q243" s="3"/>
      <c r="R243" s="3" t="s">
        <v>152</v>
      </c>
      <c r="Y243" s="75">
        <f t="shared" si="0"/>
        <v>1</v>
      </c>
    </row>
    <row r="244" spans="1:25" ht="13.2">
      <c r="A244" s="3">
        <v>14</v>
      </c>
      <c r="B244" s="59" t="s">
        <v>1461</v>
      </c>
      <c r="C244" s="3">
        <v>2005</v>
      </c>
      <c r="D244" s="3" t="s">
        <v>1462</v>
      </c>
      <c r="E244" s="60" t="s">
        <v>1463</v>
      </c>
      <c r="J244" s="3" t="s">
        <v>7</v>
      </c>
      <c r="Q244" s="3"/>
      <c r="R244" s="3" t="s">
        <v>152</v>
      </c>
      <c r="Y244" s="75">
        <f t="shared" si="0"/>
        <v>1</v>
      </c>
    </row>
    <row r="245" spans="1:25" ht="13.2">
      <c r="A245" s="3">
        <v>14</v>
      </c>
      <c r="B245" s="3" t="s">
        <v>1464</v>
      </c>
      <c r="C245" s="3">
        <v>2008</v>
      </c>
      <c r="D245" s="3" t="s">
        <v>1465</v>
      </c>
      <c r="E245" s="31" t="s">
        <v>1466</v>
      </c>
      <c r="J245" s="3" t="s">
        <v>7</v>
      </c>
      <c r="Q245" s="3"/>
      <c r="R245" s="3" t="s">
        <v>152</v>
      </c>
      <c r="Y245" s="75">
        <f t="shared" si="0"/>
        <v>1</v>
      </c>
    </row>
    <row r="246" spans="1:25" ht="14.4">
      <c r="A246" s="99">
        <v>14</v>
      </c>
      <c r="B246" s="38" t="s">
        <v>126</v>
      </c>
      <c r="C246" s="100">
        <v>2013</v>
      </c>
      <c r="D246" s="38" t="s">
        <v>127</v>
      </c>
      <c r="E246" s="74" t="s">
        <v>128</v>
      </c>
      <c r="F246" s="52"/>
      <c r="G246" s="101"/>
      <c r="H246" s="101"/>
      <c r="I246" s="101"/>
      <c r="J246" s="101"/>
      <c r="K246" s="102"/>
      <c r="L246" s="102"/>
      <c r="M246" s="102"/>
      <c r="N246" s="102"/>
      <c r="O246" s="102"/>
      <c r="P246" s="102"/>
      <c r="Q246" s="103"/>
      <c r="R246" s="3" t="s">
        <v>176</v>
      </c>
      <c r="S246" s="38" t="s">
        <v>129</v>
      </c>
      <c r="T246" s="103"/>
      <c r="U246" s="103"/>
      <c r="V246" s="103"/>
      <c r="W246" s="103"/>
      <c r="X246" s="103"/>
      <c r="Y246" s="75">
        <f t="shared" si="0"/>
        <v>1</v>
      </c>
    </row>
    <row r="247" spans="1:25" ht="13.2">
      <c r="A247" s="3">
        <v>14</v>
      </c>
      <c r="B247" s="3" t="s">
        <v>1467</v>
      </c>
      <c r="C247" s="3">
        <v>2010</v>
      </c>
      <c r="E247" s="31" t="s">
        <v>1468</v>
      </c>
      <c r="J247" s="3" t="s">
        <v>7</v>
      </c>
      <c r="Q247" s="3"/>
      <c r="R247" s="3" t="s">
        <v>152</v>
      </c>
      <c r="Y247" s="75">
        <f t="shared" si="0"/>
        <v>1</v>
      </c>
    </row>
    <row r="248" spans="1:25" ht="13.2">
      <c r="A248" s="3">
        <v>14</v>
      </c>
      <c r="B248" s="3" t="s">
        <v>1469</v>
      </c>
      <c r="D248" s="59" t="s">
        <v>1470</v>
      </c>
      <c r="E248" s="30" t="s">
        <v>1471</v>
      </c>
      <c r="F248" s="52"/>
      <c r="G248" s="52"/>
      <c r="H248" s="53" t="s">
        <v>7</v>
      </c>
      <c r="I248" s="52"/>
      <c r="J248" s="52"/>
      <c r="K248" s="50"/>
      <c r="L248" s="50"/>
      <c r="M248" s="50"/>
      <c r="N248" s="50"/>
      <c r="O248" s="50"/>
      <c r="P248" s="50"/>
      <c r="R248" s="3" t="s">
        <v>152</v>
      </c>
      <c r="S248" s="3" t="s">
        <v>1472</v>
      </c>
      <c r="Y248" s="75">
        <f t="shared" si="0"/>
        <v>1</v>
      </c>
    </row>
    <row r="249" spans="1:25" ht="14.4">
      <c r="A249" s="3">
        <v>14</v>
      </c>
      <c r="B249" s="38" t="s">
        <v>1473</v>
      </c>
      <c r="C249" s="100">
        <v>2014</v>
      </c>
      <c r="D249" s="38" t="s">
        <v>1474</v>
      </c>
      <c r="E249" s="74" t="s">
        <v>1475</v>
      </c>
      <c r="F249" s="53" t="s">
        <v>7</v>
      </c>
      <c r="G249" s="101"/>
      <c r="H249" s="104" t="s">
        <v>7</v>
      </c>
      <c r="I249" s="101"/>
      <c r="J249" s="101"/>
      <c r="K249" s="102"/>
      <c r="L249" s="102"/>
      <c r="M249" s="102"/>
      <c r="N249" s="102"/>
      <c r="O249" s="102"/>
      <c r="P249" s="102"/>
      <c r="Q249" s="103"/>
      <c r="R249" s="3" t="s">
        <v>152</v>
      </c>
      <c r="S249" s="103"/>
      <c r="T249" s="103"/>
      <c r="U249" s="103"/>
      <c r="V249" s="103"/>
      <c r="W249" s="103"/>
      <c r="X249" s="103"/>
      <c r="Y249" s="75">
        <f t="shared" si="0"/>
        <v>1</v>
      </c>
    </row>
    <row r="250" spans="1:25" ht="13.2">
      <c r="A250" s="3">
        <v>16</v>
      </c>
      <c r="B250" s="3" t="s">
        <v>1476</v>
      </c>
      <c r="C250" s="3">
        <v>2005</v>
      </c>
      <c r="D250" s="59" t="s">
        <v>1477</v>
      </c>
      <c r="E250" s="37" t="s">
        <v>1478</v>
      </c>
      <c r="J250" s="3" t="s">
        <v>7</v>
      </c>
      <c r="Q250" s="3"/>
      <c r="R250" s="3" t="s">
        <v>152</v>
      </c>
      <c r="Y250" s="75">
        <f t="shared" si="0"/>
        <v>1</v>
      </c>
    </row>
    <row r="251" spans="1:25" ht="13.2">
      <c r="A251" s="3">
        <v>16</v>
      </c>
      <c r="B251" s="3" t="s">
        <v>1479</v>
      </c>
      <c r="C251" s="3">
        <v>2010</v>
      </c>
      <c r="D251" s="59" t="s">
        <v>1480</v>
      </c>
      <c r="E251" s="37" t="s">
        <v>1481</v>
      </c>
      <c r="J251" s="3" t="s">
        <v>7</v>
      </c>
      <c r="Q251" s="3"/>
      <c r="R251" s="3" t="s">
        <v>152</v>
      </c>
      <c r="Y251" s="75">
        <f t="shared" si="0"/>
        <v>1</v>
      </c>
    </row>
    <row r="252" spans="1:25" ht="13.2">
      <c r="A252" s="3">
        <v>16</v>
      </c>
      <c r="B252" s="3" t="s">
        <v>1482</v>
      </c>
      <c r="D252" s="59" t="s">
        <v>1483</v>
      </c>
      <c r="E252" s="30" t="s">
        <v>1484</v>
      </c>
      <c r="F252" s="52"/>
      <c r="G252" s="52"/>
      <c r="H252" s="52"/>
      <c r="I252" s="52"/>
      <c r="J252" s="52"/>
      <c r="K252" s="50"/>
      <c r="L252" s="50"/>
      <c r="M252" s="50"/>
      <c r="N252" s="50"/>
      <c r="O252" s="50"/>
      <c r="P252" s="51" t="s">
        <v>7</v>
      </c>
      <c r="Q252" s="3"/>
      <c r="R252" s="3" t="s">
        <v>176</v>
      </c>
      <c r="S252" s="3" t="s">
        <v>1485</v>
      </c>
      <c r="Y252" s="75">
        <f t="shared" si="0"/>
        <v>1</v>
      </c>
    </row>
    <row r="253" spans="1:25" ht="13.2">
      <c r="A253" s="3">
        <v>16</v>
      </c>
      <c r="B253" s="3" t="s">
        <v>1486</v>
      </c>
      <c r="D253" s="59" t="s">
        <v>1487</v>
      </c>
      <c r="E253" s="37" t="s">
        <v>1488</v>
      </c>
      <c r="J253" s="3" t="s">
        <v>7</v>
      </c>
      <c r="Q253" s="3"/>
      <c r="R253" s="3" t="s">
        <v>152</v>
      </c>
      <c r="Y253" s="75">
        <f t="shared" si="0"/>
        <v>1</v>
      </c>
    </row>
    <row r="254" spans="1:25" ht="13.2">
      <c r="A254" s="3">
        <v>16</v>
      </c>
      <c r="B254" s="3" t="s">
        <v>1489</v>
      </c>
      <c r="D254" s="59" t="s">
        <v>1490</v>
      </c>
      <c r="E254" s="30" t="s">
        <v>1491</v>
      </c>
      <c r="F254" s="52"/>
      <c r="G254" s="53" t="s">
        <v>7</v>
      </c>
      <c r="H254" s="52"/>
      <c r="I254" s="52"/>
      <c r="J254" s="52"/>
      <c r="K254" s="50"/>
      <c r="L254" s="50"/>
      <c r="M254" s="50"/>
      <c r="N254" s="50"/>
      <c r="O254" s="50"/>
      <c r="P254" s="50"/>
      <c r="R254" s="3" t="s">
        <v>152</v>
      </c>
      <c r="Y254" s="75">
        <f t="shared" si="0"/>
        <v>1</v>
      </c>
    </row>
    <row r="255" spans="1:25" ht="13.2">
      <c r="A255" s="3">
        <v>16</v>
      </c>
      <c r="B255" s="3" t="s">
        <v>1492</v>
      </c>
      <c r="C255" s="3">
        <v>2000</v>
      </c>
      <c r="D255" s="59" t="s">
        <v>1493</v>
      </c>
      <c r="E255" s="37" t="s">
        <v>1494</v>
      </c>
      <c r="J255" s="3" t="s">
        <v>7</v>
      </c>
      <c r="Q255" s="3"/>
      <c r="R255" s="3" t="s">
        <v>152</v>
      </c>
      <c r="Y255" s="75">
        <f t="shared" si="0"/>
        <v>1</v>
      </c>
    </row>
    <row r="256" spans="1:25" ht="13.2">
      <c r="A256" s="3">
        <v>16</v>
      </c>
      <c r="B256" s="3" t="s">
        <v>1495</v>
      </c>
      <c r="C256" s="3">
        <v>1990</v>
      </c>
      <c r="D256" s="59" t="s">
        <v>1496</v>
      </c>
      <c r="E256" s="37" t="s">
        <v>1497</v>
      </c>
      <c r="J256" s="3" t="s">
        <v>7</v>
      </c>
      <c r="Q256" s="3"/>
      <c r="R256" s="3" t="s">
        <v>152</v>
      </c>
      <c r="Y256" s="75">
        <f t="shared" si="0"/>
        <v>1</v>
      </c>
    </row>
    <row r="257" spans="1:25" ht="13.2">
      <c r="A257" s="3">
        <v>16</v>
      </c>
      <c r="B257" s="3" t="s">
        <v>1498</v>
      </c>
      <c r="C257" s="3">
        <v>2005</v>
      </c>
      <c r="D257" s="59" t="s">
        <v>1499</v>
      </c>
      <c r="E257" s="37" t="s">
        <v>1500</v>
      </c>
      <c r="J257" s="3" t="s">
        <v>7</v>
      </c>
      <c r="Q257" s="3"/>
      <c r="R257" s="3" t="s">
        <v>152</v>
      </c>
      <c r="Y257" s="75">
        <f t="shared" si="0"/>
        <v>1</v>
      </c>
    </row>
    <row r="258" spans="1:25" ht="13.2">
      <c r="A258" s="3">
        <v>15</v>
      </c>
      <c r="B258" s="3" t="s">
        <v>1501</v>
      </c>
      <c r="C258" s="3">
        <v>2018</v>
      </c>
      <c r="D258" s="59" t="s">
        <v>1502</v>
      </c>
      <c r="E258" s="30" t="s">
        <v>1503</v>
      </c>
      <c r="F258" s="52"/>
      <c r="G258" s="53" t="s">
        <v>7</v>
      </c>
      <c r="H258" s="52"/>
      <c r="I258" s="52"/>
      <c r="J258" s="52"/>
      <c r="K258" s="50"/>
      <c r="L258" s="50"/>
      <c r="M258" s="50"/>
      <c r="N258" s="50"/>
      <c r="O258" s="50"/>
      <c r="P258" s="50"/>
      <c r="R258" s="3" t="s">
        <v>152</v>
      </c>
      <c r="Y258" s="75">
        <f t="shared" ref="Y258:Y305" si="12">COUNTIF(E:E, E258)</f>
        <v>1</v>
      </c>
    </row>
    <row r="259" spans="1:25" ht="13.2">
      <c r="A259" s="3">
        <v>15</v>
      </c>
      <c r="B259" s="3" t="s">
        <v>1504</v>
      </c>
      <c r="D259" s="59" t="s">
        <v>1505</v>
      </c>
      <c r="E259" s="30" t="s">
        <v>1506</v>
      </c>
      <c r="F259" s="52"/>
      <c r="G259" s="53" t="s">
        <v>7</v>
      </c>
      <c r="H259" s="52"/>
      <c r="I259" s="52"/>
      <c r="J259" s="52"/>
      <c r="K259" s="50"/>
      <c r="L259" s="50"/>
      <c r="M259" s="50"/>
      <c r="N259" s="50"/>
      <c r="O259" s="50"/>
      <c r="P259" s="50"/>
      <c r="R259" s="3" t="s">
        <v>152</v>
      </c>
      <c r="Y259" s="75">
        <f t="shared" si="12"/>
        <v>1</v>
      </c>
    </row>
    <row r="260" spans="1:25" ht="13.2">
      <c r="A260" s="3">
        <v>15</v>
      </c>
      <c r="B260" s="3" t="s">
        <v>1507</v>
      </c>
      <c r="D260" s="3" t="s">
        <v>1508</v>
      </c>
      <c r="E260" s="30" t="s">
        <v>1509</v>
      </c>
      <c r="F260" s="52"/>
      <c r="G260" s="52"/>
      <c r="H260" s="52"/>
      <c r="I260" s="52"/>
      <c r="J260" s="52"/>
      <c r="K260" s="50"/>
      <c r="L260" s="50"/>
      <c r="M260" s="50"/>
      <c r="N260" s="51" t="s">
        <v>7</v>
      </c>
      <c r="O260" s="50"/>
      <c r="P260" s="50"/>
      <c r="R260" s="3" t="s">
        <v>152</v>
      </c>
      <c r="Y260" s="75">
        <f t="shared" si="12"/>
        <v>1</v>
      </c>
    </row>
    <row r="261" spans="1:25" ht="13.2">
      <c r="A261" s="3">
        <v>15</v>
      </c>
      <c r="B261" s="3" t="s">
        <v>1510</v>
      </c>
      <c r="C261" s="3">
        <v>2017</v>
      </c>
      <c r="D261" s="3" t="s">
        <v>1511</v>
      </c>
      <c r="E261" s="31" t="s">
        <v>1512</v>
      </c>
      <c r="F261" s="52"/>
      <c r="G261" s="53" t="s">
        <v>7</v>
      </c>
      <c r="H261" s="52"/>
      <c r="I261" s="52"/>
      <c r="J261" s="52"/>
      <c r="K261" s="50"/>
      <c r="L261" s="50"/>
      <c r="M261" s="50"/>
      <c r="N261" s="50"/>
      <c r="O261" s="50"/>
      <c r="P261" s="50"/>
      <c r="R261" s="3" t="s">
        <v>152</v>
      </c>
      <c r="Y261" s="75">
        <f t="shared" si="12"/>
        <v>1</v>
      </c>
    </row>
    <row r="262" spans="1:25" ht="13.2">
      <c r="A262" s="3">
        <v>15</v>
      </c>
      <c r="B262" s="3" t="s">
        <v>1513</v>
      </c>
      <c r="C262" s="3">
        <v>2017</v>
      </c>
      <c r="D262" s="3" t="s">
        <v>1514</v>
      </c>
      <c r="E262" s="31" t="s">
        <v>1515</v>
      </c>
      <c r="F262" s="53" t="s">
        <v>7</v>
      </c>
      <c r="G262" s="52"/>
      <c r="H262" s="52"/>
      <c r="I262" s="52"/>
      <c r="J262" s="52"/>
      <c r="K262" s="50"/>
      <c r="L262" s="50"/>
      <c r="M262" s="50"/>
      <c r="N262" s="50"/>
      <c r="O262" s="50"/>
      <c r="P262" s="50"/>
      <c r="R262" s="3" t="s">
        <v>152</v>
      </c>
      <c r="Y262" s="75">
        <f t="shared" si="12"/>
        <v>1</v>
      </c>
    </row>
    <row r="263" spans="1:25" ht="13.2">
      <c r="A263" s="3">
        <v>15</v>
      </c>
      <c r="B263" s="3" t="s">
        <v>1516</v>
      </c>
      <c r="C263" s="3">
        <v>2015</v>
      </c>
      <c r="D263" s="3" t="s">
        <v>1517</v>
      </c>
      <c r="E263" s="31" t="s">
        <v>1518</v>
      </c>
      <c r="F263" s="52"/>
      <c r="G263" s="53" t="s">
        <v>7</v>
      </c>
      <c r="H263" s="52"/>
      <c r="I263" s="52"/>
      <c r="J263" s="52"/>
      <c r="K263" s="50"/>
      <c r="L263" s="50"/>
      <c r="M263" s="50"/>
      <c r="N263" s="50"/>
      <c r="O263" s="50"/>
      <c r="P263" s="50"/>
      <c r="R263" s="3" t="s">
        <v>152</v>
      </c>
      <c r="Y263" s="75">
        <f t="shared" si="12"/>
        <v>1</v>
      </c>
    </row>
    <row r="264" spans="1:25" ht="13.2">
      <c r="A264" s="3">
        <v>15</v>
      </c>
      <c r="B264" s="3" t="s">
        <v>1519</v>
      </c>
      <c r="D264" s="59" t="s">
        <v>1520</v>
      </c>
      <c r="E264" s="30" t="s">
        <v>1521</v>
      </c>
      <c r="F264" s="52"/>
      <c r="G264" s="52"/>
      <c r="H264" s="52"/>
      <c r="I264" s="52"/>
      <c r="J264" s="52"/>
      <c r="K264" s="50"/>
      <c r="L264" s="50"/>
      <c r="M264" s="50"/>
      <c r="N264" s="51" t="s">
        <v>7</v>
      </c>
      <c r="O264" s="50"/>
      <c r="P264" s="50"/>
      <c r="R264" s="3" t="s">
        <v>152</v>
      </c>
      <c r="Y264" s="75">
        <f t="shared" si="12"/>
        <v>1</v>
      </c>
    </row>
    <row r="265" spans="1:25" ht="13.2">
      <c r="A265" s="3">
        <v>15</v>
      </c>
      <c r="B265" s="3" t="s">
        <v>1522</v>
      </c>
      <c r="D265" s="59" t="s">
        <v>1523</v>
      </c>
      <c r="E265" s="30" t="s">
        <v>1524</v>
      </c>
      <c r="F265" s="53" t="s">
        <v>7</v>
      </c>
      <c r="G265" s="53" t="s">
        <v>7</v>
      </c>
      <c r="H265" s="52"/>
      <c r="I265" s="52"/>
      <c r="J265" s="52"/>
      <c r="K265" s="50"/>
      <c r="L265" s="50"/>
      <c r="M265" s="50"/>
      <c r="N265" s="50"/>
      <c r="O265" s="50"/>
      <c r="P265" s="50"/>
      <c r="R265" s="3" t="s">
        <v>152</v>
      </c>
      <c r="Y265" s="75">
        <f t="shared" si="12"/>
        <v>1</v>
      </c>
    </row>
    <row r="266" spans="1:25" ht="13.2">
      <c r="A266" s="3">
        <v>15</v>
      </c>
      <c r="B266" s="3" t="s">
        <v>1525</v>
      </c>
      <c r="D266" s="59" t="s">
        <v>1526</v>
      </c>
      <c r="E266" s="30" t="s">
        <v>1527</v>
      </c>
      <c r="F266" s="53" t="s">
        <v>7</v>
      </c>
      <c r="G266" s="53"/>
      <c r="H266" s="52"/>
      <c r="I266" s="52"/>
      <c r="J266" s="52"/>
      <c r="K266" s="50"/>
      <c r="L266" s="50"/>
      <c r="M266" s="50"/>
      <c r="N266" s="50"/>
      <c r="O266" s="50"/>
      <c r="P266" s="50"/>
      <c r="R266" s="3" t="s">
        <v>152</v>
      </c>
      <c r="Y266" s="75">
        <f t="shared" si="12"/>
        <v>1</v>
      </c>
    </row>
    <row r="267" spans="1:25" ht="13.2">
      <c r="A267" s="3">
        <v>15</v>
      </c>
      <c r="B267" s="3" t="s">
        <v>1528</v>
      </c>
      <c r="C267" s="3">
        <v>2016</v>
      </c>
      <c r="D267" s="3" t="s">
        <v>1529</v>
      </c>
      <c r="E267" s="31" t="s">
        <v>1530</v>
      </c>
      <c r="F267" s="53" t="s">
        <v>7</v>
      </c>
      <c r="G267" s="52"/>
      <c r="H267" s="52"/>
      <c r="I267" s="52"/>
      <c r="J267" s="52"/>
      <c r="K267" s="50"/>
      <c r="L267" s="50"/>
      <c r="M267" s="50"/>
      <c r="N267" s="50"/>
      <c r="O267" s="50"/>
      <c r="P267" s="50"/>
      <c r="R267" s="3" t="s">
        <v>152</v>
      </c>
      <c r="Y267" s="75">
        <f t="shared" si="12"/>
        <v>1</v>
      </c>
    </row>
    <row r="268" spans="1:25" ht="13.2">
      <c r="A268" s="3">
        <v>15</v>
      </c>
      <c r="B268" s="3" t="s">
        <v>1531</v>
      </c>
      <c r="C268" s="3">
        <v>2003</v>
      </c>
      <c r="D268" s="59" t="s">
        <v>1532</v>
      </c>
      <c r="E268" s="37" t="s">
        <v>1533</v>
      </c>
      <c r="J268" s="3" t="s">
        <v>7</v>
      </c>
      <c r="Q268" s="3"/>
      <c r="R268" s="3" t="s">
        <v>152</v>
      </c>
      <c r="Y268" s="75">
        <f t="shared" si="12"/>
        <v>1</v>
      </c>
    </row>
    <row r="269" spans="1:25" ht="14.4">
      <c r="A269" s="3">
        <v>15</v>
      </c>
      <c r="B269" s="38" t="s">
        <v>1534</v>
      </c>
      <c r="D269" s="38" t="s">
        <v>1535</v>
      </c>
      <c r="E269" s="74" t="s">
        <v>1536</v>
      </c>
      <c r="F269" s="53" t="s">
        <v>7</v>
      </c>
      <c r="G269" s="104" t="s">
        <v>7</v>
      </c>
      <c r="H269" s="101"/>
      <c r="I269" s="101"/>
      <c r="J269" s="101"/>
      <c r="K269" s="102"/>
      <c r="L269" s="102"/>
      <c r="M269" s="102"/>
      <c r="N269" s="102"/>
      <c r="O269" s="102"/>
      <c r="P269" s="102"/>
      <c r="Q269" s="103"/>
      <c r="R269" s="3" t="s">
        <v>152</v>
      </c>
      <c r="S269" s="103"/>
      <c r="T269" s="103"/>
      <c r="U269" s="103"/>
      <c r="V269" s="103"/>
      <c r="W269" s="103"/>
      <c r="X269" s="103"/>
      <c r="Y269" s="75">
        <f t="shared" si="12"/>
        <v>1</v>
      </c>
    </row>
    <row r="270" spans="1:25" ht="13.2">
      <c r="A270" s="3">
        <v>15</v>
      </c>
      <c r="B270" s="3" t="s">
        <v>1537</v>
      </c>
      <c r="D270" s="59" t="s">
        <v>1538</v>
      </c>
      <c r="E270" s="31" t="s">
        <v>1539</v>
      </c>
      <c r="F270" s="53" t="s">
        <v>7</v>
      </c>
      <c r="G270" s="52"/>
      <c r="H270" s="52"/>
      <c r="I270" s="52"/>
      <c r="J270" s="52"/>
      <c r="K270" s="50"/>
      <c r="L270" s="50"/>
      <c r="M270" s="50"/>
      <c r="N270" s="50"/>
      <c r="O270" s="50"/>
      <c r="P270" s="50"/>
      <c r="R270" s="3" t="s">
        <v>152</v>
      </c>
      <c r="Y270" s="75">
        <f t="shared" si="12"/>
        <v>1</v>
      </c>
    </row>
    <row r="271" spans="1:25" ht="13.2">
      <c r="A271" s="3">
        <v>15</v>
      </c>
      <c r="B271" s="59" t="s">
        <v>1540</v>
      </c>
      <c r="C271" s="3">
        <v>2000</v>
      </c>
      <c r="D271" s="3" t="s">
        <v>1541</v>
      </c>
      <c r="E271" s="60" t="s">
        <v>1542</v>
      </c>
      <c r="J271" s="3" t="s">
        <v>7</v>
      </c>
      <c r="Q271" s="3"/>
      <c r="R271" s="3" t="s">
        <v>152</v>
      </c>
      <c r="Y271" s="75">
        <f t="shared" si="12"/>
        <v>1</v>
      </c>
    </row>
    <row r="272" spans="1:25" ht="13.2">
      <c r="A272" s="3">
        <v>15</v>
      </c>
      <c r="B272" s="59" t="s">
        <v>1543</v>
      </c>
      <c r="C272" s="3">
        <v>2018</v>
      </c>
      <c r="D272" s="3" t="s">
        <v>1544</v>
      </c>
      <c r="E272" s="31" t="s">
        <v>1545</v>
      </c>
      <c r="F272" s="53"/>
      <c r="G272" s="53" t="s">
        <v>7</v>
      </c>
      <c r="H272" s="52"/>
      <c r="I272" s="52"/>
      <c r="J272" s="52"/>
      <c r="K272" s="50"/>
      <c r="L272" s="50"/>
      <c r="M272" s="50"/>
      <c r="N272" s="50"/>
      <c r="O272" s="50"/>
      <c r="P272" s="50"/>
      <c r="R272" s="3" t="s">
        <v>152</v>
      </c>
      <c r="Y272" s="75">
        <f t="shared" si="12"/>
        <v>1</v>
      </c>
    </row>
    <row r="273" spans="1:25" ht="13.2">
      <c r="A273" s="3">
        <v>15</v>
      </c>
      <c r="B273" s="59" t="s">
        <v>1546</v>
      </c>
      <c r="C273" s="3">
        <v>2013</v>
      </c>
      <c r="D273" s="3" t="s">
        <v>1547</v>
      </c>
      <c r="E273" s="31" t="s">
        <v>1548</v>
      </c>
      <c r="F273" s="53" t="s">
        <v>7</v>
      </c>
      <c r="G273" s="53" t="s">
        <v>7</v>
      </c>
      <c r="H273" s="53" t="s">
        <v>7</v>
      </c>
      <c r="I273" s="52"/>
      <c r="J273" s="52"/>
      <c r="K273" s="50"/>
      <c r="L273" s="50"/>
      <c r="M273" s="50"/>
      <c r="N273" s="50"/>
      <c r="O273" s="50"/>
      <c r="P273" s="50"/>
      <c r="R273" s="3" t="s">
        <v>152</v>
      </c>
      <c r="S273" s="3" t="s">
        <v>1549</v>
      </c>
      <c r="Y273" s="75">
        <f t="shared" si="12"/>
        <v>1</v>
      </c>
    </row>
    <row r="274" spans="1:25" ht="13.2">
      <c r="A274" s="3">
        <v>15</v>
      </c>
      <c r="B274" s="59" t="s">
        <v>1550</v>
      </c>
      <c r="C274" s="3">
        <v>2017</v>
      </c>
      <c r="D274" s="3" t="s">
        <v>1551</v>
      </c>
      <c r="E274" s="31" t="s">
        <v>1552</v>
      </c>
      <c r="F274" s="52"/>
      <c r="G274" s="52"/>
      <c r="H274" s="52"/>
      <c r="I274" s="52"/>
      <c r="J274" s="52"/>
      <c r="K274" s="50"/>
      <c r="L274" s="50"/>
      <c r="M274" s="50"/>
      <c r="N274" s="51" t="s">
        <v>7</v>
      </c>
      <c r="O274" s="50"/>
      <c r="P274" s="50"/>
      <c r="R274" s="3" t="s">
        <v>152</v>
      </c>
      <c r="Y274" s="75">
        <f t="shared" si="12"/>
        <v>1</v>
      </c>
    </row>
    <row r="275" spans="1:25" ht="13.2">
      <c r="A275" s="3">
        <v>15</v>
      </c>
      <c r="B275" s="3" t="s">
        <v>1553</v>
      </c>
      <c r="C275" s="3">
        <v>2018</v>
      </c>
      <c r="D275" s="3" t="s">
        <v>1554</v>
      </c>
      <c r="E275" s="31" t="s">
        <v>1555</v>
      </c>
      <c r="F275" s="52"/>
      <c r="G275" s="53" t="s">
        <v>7</v>
      </c>
      <c r="H275" s="52"/>
      <c r="I275" s="52"/>
      <c r="J275" s="52"/>
      <c r="K275" s="50"/>
      <c r="L275" s="50"/>
      <c r="M275" s="50"/>
      <c r="N275" s="50"/>
      <c r="O275" s="50"/>
      <c r="P275" s="50"/>
      <c r="R275" s="3" t="s">
        <v>152</v>
      </c>
      <c r="Y275" s="75">
        <f t="shared" si="12"/>
        <v>1</v>
      </c>
    </row>
    <row r="276" spans="1:25" ht="13.2">
      <c r="A276" s="3">
        <v>15</v>
      </c>
      <c r="B276" s="59" t="s">
        <v>1556</v>
      </c>
      <c r="C276" s="3">
        <v>2017</v>
      </c>
      <c r="D276" s="3" t="s">
        <v>1557</v>
      </c>
      <c r="E276" s="31" t="s">
        <v>1558</v>
      </c>
      <c r="F276" s="52"/>
      <c r="G276" s="53" t="s">
        <v>7</v>
      </c>
      <c r="H276" s="53" t="s">
        <v>7</v>
      </c>
      <c r="I276" s="52"/>
      <c r="J276" s="52"/>
      <c r="K276" s="50"/>
      <c r="L276" s="50"/>
      <c r="M276" s="50"/>
      <c r="N276" s="50"/>
      <c r="O276" s="50"/>
      <c r="P276" s="50"/>
      <c r="R276" s="3" t="s">
        <v>152</v>
      </c>
      <c r="Y276" s="75">
        <f t="shared" si="12"/>
        <v>1</v>
      </c>
    </row>
    <row r="277" spans="1:25" ht="13.2">
      <c r="A277" s="3">
        <v>15</v>
      </c>
      <c r="B277" s="59" t="s">
        <v>1559</v>
      </c>
      <c r="C277" s="3">
        <v>2018</v>
      </c>
      <c r="D277" s="3" t="s">
        <v>1560</v>
      </c>
      <c r="E277" s="31" t="s">
        <v>1561</v>
      </c>
      <c r="F277" s="52"/>
      <c r="G277" s="53" t="s">
        <v>286</v>
      </c>
      <c r="H277" s="53" t="s">
        <v>286</v>
      </c>
      <c r="I277" s="52"/>
      <c r="J277" s="52"/>
      <c r="K277" s="51" t="s">
        <v>7</v>
      </c>
      <c r="L277" s="50"/>
      <c r="M277" s="50"/>
      <c r="N277" s="50"/>
      <c r="O277" s="50"/>
      <c r="P277" s="50"/>
      <c r="R277" s="3" t="s">
        <v>152</v>
      </c>
      <c r="Y277" s="75">
        <f t="shared" si="12"/>
        <v>1</v>
      </c>
    </row>
    <row r="278" spans="1:25" ht="13.2">
      <c r="A278" s="3">
        <v>15</v>
      </c>
      <c r="B278" s="3" t="s">
        <v>1562</v>
      </c>
      <c r="C278" s="3">
        <v>2009</v>
      </c>
      <c r="D278" s="59" t="s">
        <v>1563</v>
      </c>
      <c r="E278" s="37" t="s">
        <v>1564</v>
      </c>
      <c r="J278" s="3" t="s">
        <v>7</v>
      </c>
      <c r="Q278" s="3"/>
      <c r="R278" s="3" t="s">
        <v>152</v>
      </c>
      <c r="Y278" s="75">
        <f t="shared" si="12"/>
        <v>1</v>
      </c>
    </row>
    <row r="279" spans="1:25" ht="13.2">
      <c r="A279" s="3">
        <v>15</v>
      </c>
      <c r="B279" s="3" t="s">
        <v>1565</v>
      </c>
      <c r="C279" s="3">
        <v>2014</v>
      </c>
      <c r="D279" s="59" t="s">
        <v>1566</v>
      </c>
      <c r="E279" s="30" t="s">
        <v>1567</v>
      </c>
      <c r="F279" s="53" t="s">
        <v>7</v>
      </c>
      <c r="G279" s="52"/>
      <c r="H279" s="52"/>
      <c r="I279" s="52"/>
      <c r="J279" s="52"/>
      <c r="K279" s="50"/>
      <c r="L279" s="50"/>
      <c r="M279" s="50"/>
      <c r="N279" s="50"/>
      <c r="O279" s="50"/>
      <c r="P279" s="50"/>
      <c r="R279" s="3" t="s">
        <v>152</v>
      </c>
      <c r="Y279" s="75">
        <f t="shared" si="12"/>
        <v>1</v>
      </c>
    </row>
    <row r="280" spans="1:25" ht="13.2">
      <c r="A280" s="3">
        <v>15</v>
      </c>
      <c r="B280" s="59" t="s">
        <v>1568</v>
      </c>
      <c r="C280" s="3">
        <v>2014</v>
      </c>
      <c r="D280" s="3" t="s">
        <v>1569</v>
      </c>
      <c r="E280" s="30" t="s">
        <v>1570</v>
      </c>
      <c r="F280" s="52"/>
      <c r="G280" s="52"/>
      <c r="H280" s="52"/>
      <c r="I280" s="52"/>
      <c r="J280" s="52"/>
      <c r="K280" s="50"/>
      <c r="L280" s="50"/>
      <c r="M280" s="50"/>
      <c r="N280" s="51" t="s">
        <v>7</v>
      </c>
      <c r="O280" s="50"/>
      <c r="P280" s="50"/>
      <c r="R280" s="3" t="s">
        <v>152</v>
      </c>
      <c r="Y280" s="75">
        <f t="shared" si="12"/>
        <v>1</v>
      </c>
    </row>
    <row r="281" spans="1:25" ht="13.2">
      <c r="A281" s="3">
        <v>15</v>
      </c>
      <c r="B281" s="59" t="s">
        <v>1571</v>
      </c>
      <c r="C281" s="3">
        <v>2017</v>
      </c>
      <c r="D281" s="3" t="s">
        <v>1572</v>
      </c>
      <c r="E281" s="30" t="s">
        <v>1573</v>
      </c>
      <c r="F281" s="52"/>
      <c r="G281" s="52"/>
      <c r="H281" s="53" t="s">
        <v>7</v>
      </c>
      <c r="I281" s="52"/>
      <c r="J281" s="52"/>
      <c r="K281" s="50"/>
      <c r="L281" s="50"/>
      <c r="M281" s="50"/>
      <c r="N281" s="50"/>
      <c r="O281" s="50"/>
      <c r="P281" s="50"/>
      <c r="R281" s="3" t="s">
        <v>152</v>
      </c>
      <c r="Y281" s="75">
        <f t="shared" si="12"/>
        <v>1</v>
      </c>
    </row>
    <row r="282" spans="1:25" ht="13.2">
      <c r="A282" s="3">
        <v>15</v>
      </c>
      <c r="B282" s="59" t="s">
        <v>1574</v>
      </c>
      <c r="C282" s="3">
        <v>2017</v>
      </c>
      <c r="D282" s="3" t="s">
        <v>1575</v>
      </c>
      <c r="E282" s="30" t="s">
        <v>1576</v>
      </c>
      <c r="F282" s="52"/>
      <c r="G282" s="53" t="s">
        <v>7</v>
      </c>
      <c r="H282" s="52"/>
      <c r="I282" s="52"/>
      <c r="J282" s="52"/>
      <c r="K282" s="50"/>
      <c r="L282" s="50"/>
      <c r="M282" s="50"/>
      <c r="N282" s="50"/>
      <c r="O282" s="50"/>
      <c r="P282" s="50"/>
      <c r="R282" s="3" t="s">
        <v>152</v>
      </c>
      <c r="Y282" s="75">
        <f t="shared" si="12"/>
        <v>1</v>
      </c>
    </row>
    <row r="283" spans="1:25" ht="13.2">
      <c r="A283" s="3">
        <v>15</v>
      </c>
      <c r="B283" s="59" t="s">
        <v>1577</v>
      </c>
      <c r="D283" s="3" t="s">
        <v>1578</v>
      </c>
      <c r="E283" s="30" t="s">
        <v>1579</v>
      </c>
      <c r="F283" s="52"/>
      <c r="G283" s="53" t="s">
        <v>7</v>
      </c>
      <c r="H283" s="53" t="s">
        <v>7</v>
      </c>
      <c r="I283" s="52"/>
      <c r="J283" s="52"/>
      <c r="K283" s="50"/>
      <c r="L283" s="50"/>
      <c r="M283" s="50"/>
      <c r="N283" s="50"/>
      <c r="O283" s="50"/>
      <c r="P283" s="50"/>
      <c r="R283" s="3" t="s">
        <v>152</v>
      </c>
      <c r="Y283" s="75">
        <f t="shared" si="12"/>
        <v>1</v>
      </c>
    </row>
    <row r="284" spans="1:25" ht="13.2">
      <c r="A284" s="3">
        <v>15</v>
      </c>
      <c r="B284" s="59" t="s">
        <v>1580</v>
      </c>
      <c r="C284" s="3">
        <v>2010</v>
      </c>
      <c r="D284" s="3" t="s">
        <v>1581</v>
      </c>
      <c r="E284" s="37" t="s">
        <v>1582</v>
      </c>
      <c r="J284" s="3" t="s">
        <v>7</v>
      </c>
      <c r="Q284" s="3"/>
      <c r="R284" s="3" t="s">
        <v>152</v>
      </c>
      <c r="Y284" s="75">
        <f t="shared" si="12"/>
        <v>1</v>
      </c>
    </row>
    <row r="285" spans="1:25" ht="13.2">
      <c r="A285" s="3">
        <v>15</v>
      </c>
      <c r="B285" s="59" t="s">
        <v>1583</v>
      </c>
      <c r="C285" s="3">
        <v>2010</v>
      </c>
      <c r="D285" s="3" t="s">
        <v>1584</v>
      </c>
      <c r="E285" s="37" t="s">
        <v>1585</v>
      </c>
      <c r="J285" s="3" t="s">
        <v>7</v>
      </c>
      <c r="Q285" s="3"/>
      <c r="R285" s="3" t="s">
        <v>152</v>
      </c>
      <c r="Y285" s="75">
        <f t="shared" si="12"/>
        <v>1</v>
      </c>
    </row>
    <row r="286" spans="1:25" ht="13.2">
      <c r="A286" s="3">
        <v>15</v>
      </c>
      <c r="B286" s="3" t="s">
        <v>1586</v>
      </c>
      <c r="C286" s="3">
        <v>2018</v>
      </c>
      <c r="D286" s="3" t="s">
        <v>1587</v>
      </c>
      <c r="E286" s="31" t="s">
        <v>1588</v>
      </c>
      <c r="F286" s="53" t="s">
        <v>7</v>
      </c>
      <c r="G286" s="52"/>
      <c r="H286" s="52"/>
      <c r="I286" s="52"/>
      <c r="J286" s="52"/>
      <c r="K286" s="50"/>
      <c r="L286" s="50"/>
      <c r="M286" s="50"/>
      <c r="N286" s="50"/>
      <c r="O286" s="50"/>
      <c r="P286" s="50"/>
      <c r="R286" s="3" t="s">
        <v>152</v>
      </c>
      <c r="S286" s="3" t="s">
        <v>1209</v>
      </c>
      <c r="Y286" s="75">
        <f t="shared" si="12"/>
        <v>1</v>
      </c>
    </row>
    <row r="287" spans="1:25" ht="13.2">
      <c r="A287" s="3">
        <v>15</v>
      </c>
      <c r="B287" s="3" t="s">
        <v>1589</v>
      </c>
      <c r="D287" s="59" t="s">
        <v>1590</v>
      </c>
      <c r="E287" s="30" t="s">
        <v>1591</v>
      </c>
      <c r="F287" s="53" t="s">
        <v>7</v>
      </c>
      <c r="G287" s="53" t="s">
        <v>7</v>
      </c>
      <c r="H287" s="53" t="s">
        <v>7</v>
      </c>
      <c r="I287" s="52"/>
      <c r="J287" s="52"/>
      <c r="K287" s="50"/>
      <c r="L287" s="50"/>
      <c r="M287" s="50"/>
      <c r="N287" s="51" t="s">
        <v>286</v>
      </c>
      <c r="O287" s="50"/>
      <c r="P287" s="50"/>
      <c r="R287" s="3" t="s">
        <v>152</v>
      </c>
      <c r="Y287" s="75">
        <f t="shared" si="12"/>
        <v>1</v>
      </c>
    </row>
    <row r="288" spans="1:25" ht="13.2">
      <c r="A288" s="3">
        <v>15</v>
      </c>
      <c r="B288" s="3" t="s">
        <v>1592</v>
      </c>
      <c r="D288" s="59" t="s">
        <v>1593</v>
      </c>
      <c r="E288" s="30" t="s">
        <v>1594</v>
      </c>
      <c r="F288" s="52"/>
      <c r="G288" s="52"/>
      <c r="H288" s="53" t="s">
        <v>7</v>
      </c>
      <c r="I288" s="52"/>
      <c r="J288" s="52"/>
      <c r="K288" s="50"/>
      <c r="L288" s="50"/>
      <c r="M288" s="50"/>
      <c r="N288" s="50"/>
      <c r="O288" s="50"/>
      <c r="P288" s="50"/>
      <c r="R288" s="3" t="s">
        <v>152</v>
      </c>
      <c r="S288" s="3" t="s">
        <v>1595</v>
      </c>
      <c r="Y288" s="75">
        <f t="shared" si="12"/>
        <v>1</v>
      </c>
    </row>
    <row r="289" spans="1:25" ht="13.2">
      <c r="A289" s="3">
        <v>15</v>
      </c>
      <c r="B289" s="3" t="s">
        <v>1596</v>
      </c>
      <c r="D289" s="59" t="s">
        <v>1597</v>
      </c>
      <c r="E289" s="30" t="s">
        <v>1598</v>
      </c>
      <c r="F289" s="52"/>
      <c r="G289" s="53" t="s">
        <v>7</v>
      </c>
      <c r="H289" s="53" t="s">
        <v>7</v>
      </c>
      <c r="I289" s="52"/>
      <c r="J289" s="52"/>
      <c r="K289" s="50"/>
      <c r="L289" s="50"/>
      <c r="M289" s="50"/>
      <c r="N289" s="50"/>
      <c r="O289" s="50"/>
      <c r="P289" s="50"/>
      <c r="R289" s="3" t="s">
        <v>152</v>
      </c>
      <c r="Y289" s="75">
        <f t="shared" si="12"/>
        <v>1</v>
      </c>
    </row>
    <row r="290" spans="1:25" ht="13.2">
      <c r="A290" s="3">
        <v>15</v>
      </c>
      <c r="B290" s="3" t="s">
        <v>1599</v>
      </c>
      <c r="D290" s="59" t="s">
        <v>1600</v>
      </c>
      <c r="E290" s="30" t="s">
        <v>1601</v>
      </c>
      <c r="F290" s="53" t="s">
        <v>7</v>
      </c>
      <c r="G290" s="53" t="s">
        <v>7</v>
      </c>
      <c r="H290" s="53" t="s">
        <v>7</v>
      </c>
      <c r="I290" s="52"/>
      <c r="J290" s="52"/>
      <c r="K290" s="50"/>
      <c r="L290" s="50"/>
      <c r="M290" s="50"/>
      <c r="N290" s="50"/>
      <c r="O290" s="50"/>
      <c r="P290" s="50"/>
      <c r="R290" s="3" t="s">
        <v>152</v>
      </c>
      <c r="Y290" s="75">
        <f t="shared" si="12"/>
        <v>1</v>
      </c>
    </row>
    <row r="291" spans="1:25" ht="13.2">
      <c r="A291" s="3">
        <v>15</v>
      </c>
      <c r="B291" s="59" t="s">
        <v>1602</v>
      </c>
      <c r="C291" s="3">
        <v>2016</v>
      </c>
      <c r="D291" s="3" t="s">
        <v>1603</v>
      </c>
      <c r="E291" s="30" t="s">
        <v>1604</v>
      </c>
      <c r="F291" s="53" t="s">
        <v>7</v>
      </c>
      <c r="G291" s="52"/>
      <c r="H291" s="52"/>
      <c r="I291" s="52"/>
      <c r="J291" s="52"/>
      <c r="K291" s="50"/>
      <c r="L291" s="50"/>
      <c r="M291" s="50"/>
      <c r="N291" s="50"/>
      <c r="O291" s="50"/>
      <c r="P291" s="50"/>
      <c r="R291" s="3" t="s">
        <v>152</v>
      </c>
      <c r="Y291" s="75">
        <f t="shared" si="12"/>
        <v>1</v>
      </c>
    </row>
    <row r="292" spans="1:25" ht="13.2">
      <c r="A292" s="3">
        <v>15</v>
      </c>
      <c r="B292" s="59" t="s">
        <v>1605</v>
      </c>
      <c r="C292" s="3">
        <v>2017</v>
      </c>
      <c r="D292" s="3" t="s">
        <v>1606</v>
      </c>
      <c r="E292" s="30" t="s">
        <v>1607</v>
      </c>
      <c r="F292" s="53" t="s">
        <v>7</v>
      </c>
      <c r="G292" s="52"/>
      <c r="H292" s="52"/>
      <c r="I292" s="52"/>
      <c r="J292" s="52"/>
      <c r="K292" s="50"/>
      <c r="L292" s="50"/>
      <c r="M292" s="50"/>
      <c r="N292" s="50"/>
      <c r="O292" s="50"/>
      <c r="P292" s="50"/>
      <c r="R292" s="3" t="s">
        <v>152</v>
      </c>
      <c r="Y292" s="75">
        <f t="shared" si="12"/>
        <v>1</v>
      </c>
    </row>
    <row r="293" spans="1:25" ht="13.2">
      <c r="A293" s="3">
        <v>15</v>
      </c>
      <c r="B293" s="3" t="s">
        <v>1608</v>
      </c>
      <c r="D293" s="59" t="s">
        <v>1609</v>
      </c>
      <c r="E293" s="30" t="s">
        <v>1610</v>
      </c>
      <c r="F293" s="53" t="s">
        <v>7</v>
      </c>
      <c r="G293" s="52"/>
      <c r="H293" s="52"/>
      <c r="I293" s="52"/>
      <c r="J293" s="52"/>
      <c r="K293" s="50"/>
      <c r="L293" s="50"/>
      <c r="M293" s="50"/>
      <c r="N293" s="50"/>
      <c r="O293" s="50"/>
      <c r="P293" s="50"/>
      <c r="R293" s="3" t="s">
        <v>152</v>
      </c>
      <c r="Y293" s="75">
        <f t="shared" si="12"/>
        <v>1</v>
      </c>
    </row>
    <row r="294" spans="1:25" ht="13.2">
      <c r="A294" s="3">
        <v>15</v>
      </c>
      <c r="B294" s="59" t="s">
        <v>1611</v>
      </c>
      <c r="C294" s="3">
        <v>2016</v>
      </c>
      <c r="D294" s="3" t="s">
        <v>1612</v>
      </c>
      <c r="E294" s="30" t="s">
        <v>1613</v>
      </c>
      <c r="F294" s="53" t="s">
        <v>7</v>
      </c>
      <c r="G294" s="52"/>
      <c r="H294" s="52"/>
      <c r="I294" s="52"/>
      <c r="J294" s="52"/>
      <c r="K294" s="50"/>
      <c r="L294" s="50"/>
      <c r="M294" s="50"/>
      <c r="N294" s="50"/>
      <c r="O294" s="50"/>
      <c r="P294" s="50"/>
      <c r="R294" s="3" t="s">
        <v>152</v>
      </c>
      <c r="Y294" s="75">
        <f t="shared" si="12"/>
        <v>1</v>
      </c>
    </row>
    <row r="295" spans="1:25" ht="13.2">
      <c r="A295" s="3">
        <v>36</v>
      </c>
      <c r="B295" s="3" t="s">
        <v>1614</v>
      </c>
      <c r="C295" s="3">
        <v>2019</v>
      </c>
      <c r="D295" s="3" t="s">
        <v>1615</v>
      </c>
      <c r="E295" s="31" t="s">
        <v>1616</v>
      </c>
      <c r="G295" s="3" t="s">
        <v>7</v>
      </c>
      <c r="R295" s="3" t="s">
        <v>152</v>
      </c>
      <c r="Y295" s="75">
        <f t="shared" si="12"/>
        <v>1</v>
      </c>
    </row>
    <row r="296" spans="1:25" ht="13.2">
      <c r="A296" s="3">
        <v>36</v>
      </c>
      <c r="B296" s="3" t="s">
        <v>1617</v>
      </c>
      <c r="C296" s="3">
        <v>2017</v>
      </c>
      <c r="D296" s="3" t="s">
        <v>1618</v>
      </c>
      <c r="E296" s="31" t="s">
        <v>1619</v>
      </c>
      <c r="I296" s="3" t="s">
        <v>7</v>
      </c>
      <c r="R296" s="3" t="s">
        <v>152</v>
      </c>
      <c r="Y296" s="75">
        <f t="shared" si="12"/>
        <v>1</v>
      </c>
    </row>
    <row r="297" spans="1:25" ht="13.2">
      <c r="A297" s="3">
        <v>36</v>
      </c>
      <c r="B297" s="3" t="s">
        <v>1620</v>
      </c>
      <c r="C297" s="3">
        <v>2018</v>
      </c>
      <c r="D297" s="3" t="s">
        <v>1621</v>
      </c>
      <c r="E297" s="31" t="s">
        <v>1622</v>
      </c>
      <c r="F297" s="3" t="s">
        <v>7</v>
      </c>
      <c r="R297" s="3" t="s">
        <v>152</v>
      </c>
      <c r="Y297" s="75">
        <f t="shared" si="12"/>
        <v>1</v>
      </c>
    </row>
    <row r="298" spans="1:25" ht="13.2">
      <c r="A298" s="3">
        <v>36</v>
      </c>
      <c r="B298" s="3" t="s">
        <v>1623</v>
      </c>
      <c r="C298" s="3">
        <v>2018</v>
      </c>
      <c r="D298" s="3" t="s">
        <v>1145</v>
      </c>
      <c r="E298" s="31" t="s">
        <v>1624</v>
      </c>
      <c r="R298" s="3" t="s">
        <v>152</v>
      </c>
      <c r="S298" s="3" t="s">
        <v>906</v>
      </c>
      <c r="Y298" s="75">
        <f t="shared" si="12"/>
        <v>1</v>
      </c>
    </row>
    <row r="299" spans="1:25" ht="14.4">
      <c r="A299" s="3">
        <v>36</v>
      </c>
      <c r="B299" s="3" t="s">
        <v>1625</v>
      </c>
      <c r="C299" s="3">
        <v>2022</v>
      </c>
      <c r="D299" s="3" t="s">
        <v>1626</v>
      </c>
      <c r="E299" s="58" t="s">
        <v>1627</v>
      </c>
      <c r="F299" s="3" t="s">
        <v>7</v>
      </c>
      <c r="R299" s="3" t="s">
        <v>152</v>
      </c>
      <c r="S299" s="3" t="s">
        <v>1628</v>
      </c>
      <c r="Y299" s="75">
        <f t="shared" si="12"/>
        <v>1</v>
      </c>
    </row>
    <row r="300" spans="1:25" ht="13.2">
      <c r="A300" s="3">
        <v>36</v>
      </c>
      <c r="B300" s="3" t="s">
        <v>1629</v>
      </c>
      <c r="C300" s="3">
        <v>2021</v>
      </c>
      <c r="D300" s="3" t="s">
        <v>1630</v>
      </c>
      <c r="E300" s="31" t="s">
        <v>1631</v>
      </c>
      <c r="H300" s="3" t="s">
        <v>7</v>
      </c>
      <c r="R300" s="3" t="s">
        <v>152</v>
      </c>
      <c r="S300" s="3" t="s">
        <v>1632</v>
      </c>
      <c r="Y300" s="75">
        <f t="shared" si="12"/>
        <v>1</v>
      </c>
    </row>
    <row r="301" spans="1:25" ht="13.2">
      <c r="A301" s="3">
        <v>36</v>
      </c>
      <c r="B301" s="3" t="s">
        <v>1633</v>
      </c>
      <c r="C301" s="3">
        <v>2021</v>
      </c>
      <c r="D301" s="3" t="s">
        <v>1634</v>
      </c>
      <c r="E301" s="31" t="s">
        <v>1635</v>
      </c>
      <c r="G301" s="3" t="s">
        <v>7</v>
      </c>
      <c r="R301" s="3" t="s">
        <v>152</v>
      </c>
      <c r="S301" s="3" t="s">
        <v>1636</v>
      </c>
      <c r="Y301" s="75">
        <f t="shared" si="12"/>
        <v>1</v>
      </c>
    </row>
    <row r="302" spans="1:25" ht="13.2">
      <c r="A302" s="3">
        <v>36</v>
      </c>
      <c r="B302" s="3" t="s">
        <v>1637</v>
      </c>
      <c r="C302" s="3">
        <v>2018</v>
      </c>
      <c r="D302" s="3" t="s">
        <v>1638</v>
      </c>
      <c r="E302" s="31" t="s">
        <v>1639</v>
      </c>
      <c r="F302" s="3" t="s">
        <v>7</v>
      </c>
      <c r="R302" s="3" t="s">
        <v>152</v>
      </c>
      <c r="Y302" s="75">
        <f t="shared" si="12"/>
        <v>1</v>
      </c>
    </row>
    <row r="303" spans="1:25" ht="13.2">
      <c r="A303" s="3">
        <v>36</v>
      </c>
      <c r="B303" s="3" t="s">
        <v>1640</v>
      </c>
      <c r="C303" s="3">
        <v>2008</v>
      </c>
      <c r="D303" s="3" t="s">
        <v>1641</v>
      </c>
      <c r="E303" s="31" t="s">
        <v>1642</v>
      </c>
      <c r="J303" s="3" t="s">
        <v>7</v>
      </c>
      <c r="R303" s="3" t="s">
        <v>152</v>
      </c>
      <c r="Y303" s="75">
        <f t="shared" si="12"/>
        <v>1</v>
      </c>
    </row>
    <row r="304" spans="1:25" ht="13.2">
      <c r="A304" s="3">
        <v>36</v>
      </c>
      <c r="B304" s="3" t="s">
        <v>1643</v>
      </c>
      <c r="C304" s="3">
        <v>2022</v>
      </c>
      <c r="D304" s="3" t="s">
        <v>1145</v>
      </c>
      <c r="E304" s="31" t="s">
        <v>1644</v>
      </c>
      <c r="R304" s="3" t="s">
        <v>152</v>
      </c>
      <c r="S304" s="3" t="s">
        <v>906</v>
      </c>
      <c r="Y304" s="75">
        <f t="shared" si="12"/>
        <v>1</v>
      </c>
    </row>
    <row r="305" spans="1:25" ht="13.2">
      <c r="A305" s="3">
        <v>36</v>
      </c>
      <c r="B305" s="3" t="s">
        <v>1645</v>
      </c>
      <c r="C305" s="3">
        <v>2022</v>
      </c>
      <c r="D305" s="3" t="s">
        <v>1145</v>
      </c>
      <c r="E305" s="31" t="s">
        <v>1646</v>
      </c>
      <c r="R305" s="3" t="s">
        <v>152</v>
      </c>
      <c r="S305" s="3" t="s">
        <v>906</v>
      </c>
      <c r="Y305" s="75">
        <f t="shared" si="12"/>
        <v>1</v>
      </c>
    </row>
    <row r="306" spans="1:25" ht="13.2">
      <c r="E306" s="54"/>
    </row>
    <row r="307" spans="1:25" ht="13.2">
      <c r="E307" s="54"/>
    </row>
    <row r="308" spans="1:25" ht="13.2">
      <c r="E308" s="54"/>
    </row>
    <row r="309" spans="1:25" ht="13.2">
      <c r="E309" s="54"/>
    </row>
    <row r="310" spans="1:25" ht="13.2">
      <c r="E310" s="54"/>
    </row>
    <row r="311" spans="1:25" ht="13.2">
      <c r="E311" s="54"/>
    </row>
    <row r="312" spans="1:25" ht="13.2">
      <c r="E312" s="54"/>
    </row>
    <row r="313" spans="1:25" ht="13.2">
      <c r="E313" s="54"/>
    </row>
    <row r="314" spans="1:25" ht="13.2">
      <c r="E314" s="54"/>
    </row>
    <row r="315" spans="1:25" ht="13.2">
      <c r="E315" s="54"/>
    </row>
    <row r="316" spans="1:25" ht="13.2">
      <c r="E316" s="54"/>
    </row>
    <row r="317" spans="1:25" ht="13.2">
      <c r="E317" s="54"/>
    </row>
    <row r="318" spans="1:25" ht="13.2">
      <c r="E318" s="54"/>
    </row>
    <row r="319" spans="1:25" ht="13.2">
      <c r="E319" s="54"/>
    </row>
    <row r="320" spans="1:25" ht="13.2">
      <c r="E320" s="54"/>
    </row>
    <row r="321" spans="5:5" ht="13.2">
      <c r="E321" s="54"/>
    </row>
    <row r="322" spans="5:5" ht="13.2">
      <c r="E322" s="54"/>
    </row>
    <row r="323" spans="5:5" ht="13.2">
      <c r="E323" s="54"/>
    </row>
    <row r="324" spans="5:5" ht="13.2">
      <c r="E324" s="54"/>
    </row>
    <row r="325" spans="5:5" ht="13.2">
      <c r="E325" s="54"/>
    </row>
    <row r="326" spans="5:5" ht="13.2">
      <c r="E326" s="54"/>
    </row>
    <row r="327" spans="5:5" ht="13.2">
      <c r="E327" s="54"/>
    </row>
    <row r="328" spans="5:5" ht="13.2">
      <c r="E328" s="54"/>
    </row>
    <row r="329" spans="5:5" ht="13.2">
      <c r="E329" s="54"/>
    </row>
    <row r="330" spans="5:5" ht="13.2">
      <c r="E330" s="54"/>
    </row>
    <row r="331" spans="5:5" ht="13.2">
      <c r="E331" s="54"/>
    </row>
    <row r="332" spans="5:5" ht="13.2">
      <c r="E332" s="54"/>
    </row>
    <row r="333" spans="5:5" ht="13.2">
      <c r="E333" s="54"/>
    </row>
    <row r="334" spans="5:5" ht="13.2">
      <c r="E334" s="54"/>
    </row>
    <row r="335" spans="5:5" ht="13.2">
      <c r="E335" s="54"/>
    </row>
    <row r="336" spans="5:5" ht="13.2">
      <c r="E336" s="54"/>
    </row>
    <row r="337" spans="5:5" ht="13.2">
      <c r="E337" s="54"/>
    </row>
    <row r="338" spans="5:5" ht="13.2">
      <c r="E338" s="54"/>
    </row>
    <row r="339" spans="5:5" ht="13.2">
      <c r="E339" s="54"/>
    </row>
    <row r="340" spans="5:5" ht="13.2">
      <c r="E340" s="54"/>
    </row>
    <row r="341" spans="5:5" ht="13.2">
      <c r="E341" s="54"/>
    </row>
    <row r="342" spans="5:5" ht="13.2">
      <c r="E342" s="54"/>
    </row>
    <row r="343" spans="5:5" ht="13.2">
      <c r="E343" s="54"/>
    </row>
    <row r="344" spans="5:5" ht="13.2">
      <c r="E344" s="54"/>
    </row>
    <row r="345" spans="5:5" ht="13.2">
      <c r="E345" s="54"/>
    </row>
    <row r="346" spans="5:5" ht="13.2">
      <c r="E346" s="54"/>
    </row>
    <row r="347" spans="5:5" ht="13.2">
      <c r="E347" s="54"/>
    </row>
    <row r="348" spans="5:5" ht="13.2">
      <c r="E348" s="54"/>
    </row>
    <row r="349" spans="5:5" ht="13.2">
      <c r="E349" s="54"/>
    </row>
    <row r="350" spans="5:5" ht="13.2">
      <c r="E350" s="54"/>
    </row>
    <row r="351" spans="5:5" ht="13.2">
      <c r="E351" s="54"/>
    </row>
    <row r="352" spans="5:5" ht="13.2">
      <c r="E352" s="54"/>
    </row>
    <row r="353" spans="5:5" ht="13.2">
      <c r="E353" s="54"/>
    </row>
    <row r="354" spans="5:5" ht="13.2">
      <c r="E354" s="54"/>
    </row>
    <row r="355" spans="5:5" ht="13.2">
      <c r="E355" s="54"/>
    </row>
    <row r="356" spans="5:5" ht="13.2">
      <c r="E356" s="54"/>
    </row>
    <row r="357" spans="5:5" ht="13.2">
      <c r="E357" s="54"/>
    </row>
    <row r="358" spans="5:5" ht="13.2">
      <c r="E358" s="54"/>
    </row>
    <row r="359" spans="5:5" ht="13.2">
      <c r="E359" s="54"/>
    </row>
    <row r="360" spans="5:5" ht="13.2">
      <c r="E360" s="54"/>
    </row>
    <row r="361" spans="5:5" ht="13.2">
      <c r="E361" s="54"/>
    </row>
    <row r="362" spans="5:5" ht="13.2">
      <c r="E362" s="54"/>
    </row>
    <row r="363" spans="5:5" ht="13.2">
      <c r="E363" s="54"/>
    </row>
    <row r="364" spans="5:5" ht="13.2">
      <c r="E364" s="54"/>
    </row>
    <row r="365" spans="5:5" ht="13.2">
      <c r="E365" s="54"/>
    </row>
    <row r="366" spans="5:5" ht="13.2">
      <c r="E366" s="54"/>
    </row>
    <row r="367" spans="5:5" ht="13.2">
      <c r="E367" s="54"/>
    </row>
    <row r="368" spans="5:5" ht="13.2">
      <c r="E368" s="54"/>
    </row>
    <row r="369" spans="5:5" ht="13.2">
      <c r="E369" s="54"/>
    </row>
    <row r="370" spans="5:5" ht="13.2">
      <c r="E370" s="54"/>
    </row>
    <row r="371" spans="5:5" ht="13.2">
      <c r="E371" s="54"/>
    </row>
    <row r="372" spans="5:5" ht="13.2">
      <c r="E372" s="54"/>
    </row>
    <row r="373" spans="5:5" ht="13.2">
      <c r="E373" s="54"/>
    </row>
    <row r="374" spans="5:5" ht="13.2">
      <c r="E374" s="54"/>
    </row>
    <row r="375" spans="5:5" ht="13.2">
      <c r="E375" s="54"/>
    </row>
    <row r="376" spans="5:5" ht="13.2">
      <c r="E376" s="54"/>
    </row>
    <row r="377" spans="5:5" ht="13.2">
      <c r="E377" s="54"/>
    </row>
    <row r="378" spans="5:5" ht="13.2">
      <c r="E378" s="54"/>
    </row>
    <row r="379" spans="5:5" ht="13.2">
      <c r="E379" s="54"/>
    </row>
    <row r="380" spans="5:5" ht="13.2">
      <c r="E380" s="54"/>
    </row>
    <row r="381" spans="5:5" ht="13.2">
      <c r="E381" s="54"/>
    </row>
    <row r="382" spans="5:5" ht="13.2">
      <c r="E382" s="54"/>
    </row>
    <row r="383" spans="5:5" ht="13.2">
      <c r="E383" s="54"/>
    </row>
    <row r="384" spans="5:5" ht="13.2">
      <c r="E384" s="54"/>
    </row>
    <row r="385" spans="5:5" ht="13.2">
      <c r="E385" s="54"/>
    </row>
    <row r="386" spans="5:5" ht="13.2">
      <c r="E386" s="54"/>
    </row>
    <row r="387" spans="5:5" ht="13.2">
      <c r="E387" s="54"/>
    </row>
    <row r="388" spans="5:5" ht="13.2">
      <c r="E388" s="54"/>
    </row>
    <row r="389" spans="5:5" ht="13.2">
      <c r="E389" s="54"/>
    </row>
    <row r="390" spans="5:5" ht="13.2">
      <c r="E390" s="54"/>
    </row>
    <row r="391" spans="5:5" ht="13.2">
      <c r="E391" s="54"/>
    </row>
    <row r="392" spans="5:5" ht="13.2">
      <c r="E392" s="54"/>
    </row>
    <row r="393" spans="5:5" ht="13.2">
      <c r="E393" s="54"/>
    </row>
    <row r="394" spans="5:5" ht="13.2">
      <c r="E394" s="54"/>
    </row>
    <row r="395" spans="5:5" ht="13.2">
      <c r="E395" s="54"/>
    </row>
    <row r="396" spans="5:5" ht="13.2">
      <c r="E396" s="54"/>
    </row>
    <row r="397" spans="5:5" ht="13.2">
      <c r="E397" s="54"/>
    </row>
    <row r="398" spans="5:5" ht="13.2">
      <c r="E398" s="54"/>
    </row>
    <row r="399" spans="5:5" ht="13.2">
      <c r="E399" s="54"/>
    </row>
    <row r="400" spans="5:5" ht="13.2">
      <c r="E400" s="54"/>
    </row>
    <row r="401" spans="5:5" ht="13.2">
      <c r="E401" s="54"/>
    </row>
    <row r="402" spans="5:5" ht="13.2">
      <c r="E402" s="54"/>
    </row>
    <row r="403" spans="5:5" ht="13.2">
      <c r="E403" s="54"/>
    </row>
    <row r="404" spans="5:5" ht="13.2">
      <c r="E404" s="54"/>
    </row>
    <row r="405" spans="5:5" ht="13.2">
      <c r="E405" s="54"/>
    </row>
    <row r="406" spans="5:5" ht="13.2">
      <c r="E406" s="54"/>
    </row>
    <row r="407" spans="5:5" ht="13.2">
      <c r="E407" s="54"/>
    </row>
    <row r="408" spans="5:5" ht="13.2">
      <c r="E408" s="54"/>
    </row>
    <row r="409" spans="5:5" ht="13.2">
      <c r="E409" s="54"/>
    </row>
    <row r="410" spans="5:5" ht="13.2">
      <c r="E410" s="54"/>
    </row>
    <row r="411" spans="5:5" ht="13.2">
      <c r="E411" s="54"/>
    </row>
    <row r="412" spans="5:5" ht="13.2">
      <c r="E412" s="54"/>
    </row>
    <row r="413" spans="5:5" ht="13.2">
      <c r="E413" s="54"/>
    </row>
    <row r="414" spans="5:5" ht="13.2">
      <c r="E414" s="54"/>
    </row>
    <row r="415" spans="5:5" ht="13.2">
      <c r="E415" s="54"/>
    </row>
    <row r="416" spans="5:5" ht="13.2">
      <c r="E416" s="54"/>
    </row>
    <row r="417" spans="5:5" ht="13.2">
      <c r="E417" s="54"/>
    </row>
    <row r="418" spans="5:5" ht="13.2">
      <c r="E418" s="54"/>
    </row>
    <row r="419" spans="5:5" ht="13.2">
      <c r="E419" s="54"/>
    </row>
    <row r="420" spans="5:5" ht="13.2">
      <c r="E420" s="54"/>
    </row>
    <row r="421" spans="5:5" ht="13.2">
      <c r="E421" s="54"/>
    </row>
    <row r="422" spans="5:5" ht="13.2">
      <c r="E422" s="54"/>
    </row>
    <row r="423" spans="5:5" ht="13.2">
      <c r="E423" s="54"/>
    </row>
    <row r="424" spans="5:5" ht="13.2">
      <c r="E424" s="54"/>
    </row>
    <row r="425" spans="5:5" ht="13.2">
      <c r="E425" s="54"/>
    </row>
    <row r="426" spans="5:5" ht="13.2">
      <c r="E426" s="54"/>
    </row>
    <row r="427" spans="5:5" ht="13.2">
      <c r="E427" s="54"/>
    </row>
    <row r="428" spans="5:5" ht="13.2">
      <c r="E428" s="54"/>
    </row>
    <row r="429" spans="5:5" ht="13.2">
      <c r="E429" s="54"/>
    </row>
    <row r="430" spans="5:5" ht="13.2">
      <c r="E430" s="54"/>
    </row>
    <row r="431" spans="5:5" ht="13.2">
      <c r="E431" s="54"/>
    </row>
    <row r="432" spans="5:5" ht="13.2">
      <c r="E432" s="54"/>
    </row>
    <row r="433" spans="5:5" ht="13.2">
      <c r="E433" s="54"/>
    </row>
    <row r="434" spans="5:5" ht="13.2">
      <c r="E434" s="54"/>
    </row>
    <row r="435" spans="5:5" ht="13.2">
      <c r="E435" s="54"/>
    </row>
    <row r="436" spans="5:5" ht="13.2">
      <c r="E436" s="54"/>
    </row>
    <row r="437" spans="5:5" ht="13.2">
      <c r="E437" s="54"/>
    </row>
    <row r="438" spans="5:5" ht="13.2">
      <c r="E438" s="54"/>
    </row>
    <row r="439" spans="5:5" ht="13.2">
      <c r="E439" s="54"/>
    </row>
    <row r="440" spans="5:5" ht="13.2">
      <c r="E440" s="54"/>
    </row>
    <row r="441" spans="5:5" ht="13.2">
      <c r="E441" s="54"/>
    </row>
    <row r="442" spans="5:5" ht="13.2">
      <c r="E442" s="54"/>
    </row>
    <row r="443" spans="5:5" ht="13.2">
      <c r="E443" s="54"/>
    </row>
    <row r="444" spans="5:5" ht="13.2">
      <c r="E444" s="54"/>
    </row>
    <row r="445" spans="5:5" ht="13.2">
      <c r="E445" s="54"/>
    </row>
    <row r="446" spans="5:5" ht="13.2">
      <c r="E446" s="54"/>
    </row>
    <row r="447" spans="5:5" ht="13.2">
      <c r="E447" s="54"/>
    </row>
    <row r="448" spans="5:5" ht="13.2">
      <c r="E448" s="54"/>
    </row>
    <row r="449" spans="5:5" ht="13.2">
      <c r="E449" s="54"/>
    </row>
    <row r="450" spans="5:5" ht="13.2">
      <c r="E450" s="54"/>
    </row>
    <row r="451" spans="5:5" ht="13.2">
      <c r="E451" s="54"/>
    </row>
    <row r="452" spans="5:5" ht="13.2">
      <c r="E452" s="54"/>
    </row>
    <row r="453" spans="5:5" ht="13.2">
      <c r="E453" s="54"/>
    </row>
    <row r="454" spans="5:5" ht="13.2">
      <c r="E454" s="54"/>
    </row>
    <row r="455" spans="5:5" ht="13.2">
      <c r="E455" s="54"/>
    </row>
    <row r="456" spans="5:5" ht="13.2">
      <c r="E456" s="54"/>
    </row>
    <row r="457" spans="5:5" ht="13.2">
      <c r="E457" s="54"/>
    </row>
    <row r="458" spans="5:5" ht="13.2">
      <c r="E458" s="54"/>
    </row>
    <row r="459" spans="5:5" ht="13.2">
      <c r="E459" s="54"/>
    </row>
    <row r="460" spans="5:5" ht="13.2">
      <c r="E460" s="54"/>
    </row>
    <row r="461" spans="5:5" ht="13.2">
      <c r="E461" s="54"/>
    </row>
    <row r="462" spans="5:5" ht="13.2">
      <c r="E462" s="54"/>
    </row>
    <row r="463" spans="5:5" ht="13.2">
      <c r="E463" s="54"/>
    </row>
    <row r="464" spans="5:5" ht="13.2">
      <c r="E464" s="54"/>
    </row>
    <row r="465" spans="5:5" ht="13.2">
      <c r="E465" s="54"/>
    </row>
    <row r="466" spans="5:5" ht="13.2">
      <c r="E466" s="54"/>
    </row>
    <row r="467" spans="5:5" ht="13.2">
      <c r="E467" s="54"/>
    </row>
    <row r="468" spans="5:5" ht="13.2">
      <c r="E468" s="54"/>
    </row>
    <row r="469" spans="5:5" ht="13.2">
      <c r="E469" s="54"/>
    </row>
    <row r="470" spans="5:5" ht="13.2">
      <c r="E470" s="54"/>
    </row>
    <row r="471" spans="5:5" ht="13.2">
      <c r="E471" s="54"/>
    </row>
    <row r="472" spans="5:5" ht="13.2">
      <c r="E472" s="54"/>
    </row>
    <row r="473" spans="5:5" ht="13.2">
      <c r="E473" s="54"/>
    </row>
    <row r="474" spans="5:5" ht="13.2">
      <c r="E474" s="54"/>
    </row>
    <row r="475" spans="5:5" ht="13.2">
      <c r="E475" s="54"/>
    </row>
    <row r="476" spans="5:5" ht="13.2">
      <c r="E476" s="54"/>
    </row>
    <row r="477" spans="5:5" ht="13.2">
      <c r="E477" s="54"/>
    </row>
    <row r="478" spans="5:5" ht="13.2">
      <c r="E478" s="54"/>
    </row>
    <row r="479" spans="5:5" ht="13.2">
      <c r="E479" s="54"/>
    </row>
    <row r="480" spans="5:5" ht="13.2">
      <c r="E480" s="54"/>
    </row>
    <row r="481" spans="5:5" ht="13.2">
      <c r="E481" s="54"/>
    </row>
    <row r="482" spans="5:5" ht="13.2">
      <c r="E482" s="54"/>
    </row>
    <row r="483" spans="5:5" ht="13.2">
      <c r="E483" s="54"/>
    </row>
    <row r="484" spans="5:5" ht="13.2">
      <c r="E484" s="54"/>
    </row>
    <row r="485" spans="5:5" ht="13.2">
      <c r="E485" s="54"/>
    </row>
    <row r="486" spans="5:5" ht="13.2">
      <c r="E486" s="54"/>
    </row>
    <row r="487" spans="5:5" ht="13.2">
      <c r="E487" s="54"/>
    </row>
    <row r="488" spans="5:5" ht="13.2">
      <c r="E488" s="54"/>
    </row>
    <row r="489" spans="5:5" ht="13.2">
      <c r="E489" s="54"/>
    </row>
    <row r="490" spans="5:5" ht="13.2">
      <c r="E490" s="54"/>
    </row>
    <row r="491" spans="5:5" ht="13.2">
      <c r="E491" s="54"/>
    </row>
    <row r="492" spans="5:5" ht="13.2">
      <c r="E492" s="54"/>
    </row>
    <row r="493" spans="5:5" ht="13.2">
      <c r="E493" s="54"/>
    </row>
    <row r="494" spans="5:5" ht="13.2">
      <c r="E494" s="54"/>
    </row>
    <row r="495" spans="5:5" ht="13.2">
      <c r="E495" s="54"/>
    </row>
    <row r="496" spans="5:5" ht="13.2">
      <c r="E496" s="54"/>
    </row>
    <row r="497" spans="5:5" ht="13.2">
      <c r="E497" s="54"/>
    </row>
    <row r="498" spans="5:5" ht="13.2">
      <c r="E498" s="54"/>
    </row>
    <row r="499" spans="5:5" ht="13.2">
      <c r="E499" s="54"/>
    </row>
    <row r="500" spans="5:5" ht="13.2">
      <c r="E500" s="54"/>
    </row>
    <row r="501" spans="5:5" ht="13.2">
      <c r="E501" s="54"/>
    </row>
    <row r="502" spans="5:5" ht="13.2">
      <c r="E502" s="54"/>
    </row>
    <row r="503" spans="5:5" ht="13.2">
      <c r="E503" s="54"/>
    </row>
    <row r="504" spans="5:5" ht="13.2">
      <c r="E504" s="54"/>
    </row>
    <row r="505" spans="5:5" ht="13.2">
      <c r="E505" s="54"/>
    </row>
    <row r="506" spans="5:5" ht="13.2">
      <c r="E506" s="54"/>
    </row>
    <row r="507" spans="5:5" ht="13.2">
      <c r="E507" s="54"/>
    </row>
    <row r="508" spans="5:5" ht="13.2">
      <c r="E508" s="54"/>
    </row>
    <row r="509" spans="5:5" ht="13.2">
      <c r="E509" s="54"/>
    </row>
    <row r="510" spans="5:5" ht="13.2">
      <c r="E510" s="54"/>
    </row>
    <row r="511" spans="5:5" ht="13.2">
      <c r="E511" s="54"/>
    </row>
    <row r="512" spans="5:5" ht="13.2">
      <c r="E512" s="54"/>
    </row>
    <row r="513" spans="5:5" ht="13.2">
      <c r="E513" s="54"/>
    </row>
    <row r="514" spans="5:5" ht="13.2">
      <c r="E514" s="54"/>
    </row>
    <row r="515" spans="5:5" ht="13.2">
      <c r="E515" s="54"/>
    </row>
    <row r="516" spans="5:5" ht="13.2">
      <c r="E516" s="54"/>
    </row>
    <row r="517" spans="5:5" ht="13.2">
      <c r="E517" s="54"/>
    </row>
    <row r="518" spans="5:5" ht="13.2">
      <c r="E518" s="54"/>
    </row>
    <row r="519" spans="5:5" ht="13.2">
      <c r="E519" s="54"/>
    </row>
    <row r="520" spans="5:5" ht="13.2">
      <c r="E520" s="54"/>
    </row>
    <row r="521" spans="5:5" ht="13.2">
      <c r="E521" s="54"/>
    </row>
    <row r="522" spans="5:5" ht="13.2">
      <c r="E522" s="54"/>
    </row>
    <row r="523" spans="5:5" ht="13.2">
      <c r="E523" s="54"/>
    </row>
    <row r="524" spans="5:5" ht="13.2">
      <c r="E524" s="54"/>
    </row>
    <row r="525" spans="5:5" ht="13.2">
      <c r="E525" s="54"/>
    </row>
    <row r="526" spans="5:5" ht="13.2">
      <c r="E526" s="54"/>
    </row>
    <row r="527" spans="5:5" ht="13.2">
      <c r="E527" s="54"/>
    </row>
    <row r="528" spans="5:5" ht="13.2">
      <c r="E528" s="54"/>
    </row>
    <row r="529" spans="5:5" ht="13.2">
      <c r="E529" s="54"/>
    </row>
    <row r="530" spans="5:5" ht="13.2">
      <c r="E530" s="54"/>
    </row>
    <row r="531" spans="5:5" ht="13.2">
      <c r="E531" s="54"/>
    </row>
    <row r="532" spans="5:5" ht="13.2">
      <c r="E532" s="54"/>
    </row>
    <row r="533" spans="5:5" ht="13.2">
      <c r="E533" s="54"/>
    </row>
    <row r="534" spans="5:5" ht="13.2">
      <c r="E534" s="54"/>
    </row>
    <row r="535" spans="5:5" ht="13.2">
      <c r="E535" s="54"/>
    </row>
    <row r="536" spans="5:5" ht="13.2">
      <c r="E536" s="54"/>
    </row>
    <row r="537" spans="5:5" ht="13.2">
      <c r="E537" s="54"/>
    </row>
    <row r="538" spans="5:5" ht="13.2">
      <c r="E538" s="54"/>
    </row>
    <row r="539" spans="5:5" ht="13.2">
      <c r="E539" s="54"/>
    </row>
    <row r="540" spans="5:5" ht="13.2">
      <c r="E540" s="54"/>
    </row>
    <row r="541" spans="5:5" ht="13.2">
      <c r="E541" s="54"/>
    </row>
    <row r="542" spans="5:5" ht="13.2">
      <c r="E542" s="54"/>
    </row>
    <row r="543" spans="5:5" ht="13.2">
      <c r="E543" s="54"/>
    </row>
    <row r="544" spans="5:5" ht="13.2">
      <c r="E544" s="54"/>
    </row>
    <row r="545" spans="5:5" ht="13.2">
      <c r="E545" s="54"/>
    </row>
    <row r="546" spans="5:5" ht="13.2">
      <c r="E546" s="54"/>
    </row>
    <row r="547" spans="5:5" ht="13.2">
      <c r="E547" s="54"/>
    </row>
    <row r="548" spans="5:5" ht="13.2">
      <c r="E548" s="54"/>
    </row>
    <row r="549" spans="5:5" ht="13.2">
      <c r="E549" s="54"/>
    </row>
    <row r="550" spans="5:5" ht="13.2">
      <c r="E550" s="54"/>
    </row>
    <row r="551" spans="5:5" ht="13.2">
      <c r="E551" s="54"/>
    </row>
    <row r="552" spans="5:5" ht="13.2">
      <c r="E552" s="54"/>
    </row>
    <row r="553" spans="5:5" ht="13.2">
      <c r="E553" s="54"/>
    </row>
    <row r="554" spans="5:5" ht="13.2">
      <c r="E554" s="54"/>
    </row>
    <row r="555" spans="5:5" ht="13.2">
      <c r="E555" s="54"/>
    </row>
    <row r="556" spans="5:5" ht="13.2">
      <c r="E556" s="54"/>
    </row>
    <row r="557" spans="5:5" ht="13.2">
      <c r="E557" s="54"/>
    </row>
    <row r="558" spans="5:5" ht="13.2">
      <c r="E558" s="54"/>
    </row>
    <row r="559" spans="5:5" ht="13.2">
      <c r="E559" s="54"/>
    </row>
    <row r="560" spans="5:5" ht="13.2">
      <c r="E560" s="54"/>
    </row>
    <row r="561" spans="5:5" ht="13.2">
      <c r="E561" s="54"/>
    </row>
    <row r="562" spans="5:5" ht="13.2">
      <c r="E562" s="54"/>
    </row>
    <row r="563" spans="5:5" ht="13.2">
      <c r="E563" s="54"/>
    </row>
    <row r="564" spans="5:5" ht="13.2">
      <c r="E564" s="54"/>
    </row>
    <row r="565" spans="5:5" ht="13.2">
      <c r="E565" s="54"/>
    </row>
    <row r="566" spans="5:5" ht="13.2">
      <c r="E566" s="54"/>
    </row>
    <row r="567" spans="5:5" ht="13.2">
      <c r="E567" s="54"/>
    </row>
    <row r="568" spans="5:5" ht="13.2">
      <c r="E568" s="54"/>
    </row>
    <row r="569" spans="5:5" ht="13.2">
      <c r="E569" s="54"/>
    </row>
    <row r="570" spans="5:5" ht="13.2">
      <c r="E570" s="54"/>
    </row>
    <row r="571" spans="5:5" ht="13.2">
      <c r="E571" s="54"/>
    </row>
    <row r="572" spans="5:5" ht="13.2">
      <c r="E572" s="54"/>
    </row>
    <row r="573" spans="5:5" ht="13.2">
      <c r="E573" s="54"/>
    </row>
    <row r="574" spans="5:5" ht="13.2">
      <c r="E574" s="54"/>
    </row>
    <row r="575" spans="5:5" ht="13.2">
      <c r="E575" s="54"/>
    </row>
    <row r="576" spans="5:5" ht="13.2">
      <c r="E576" s="54"/>
    </row>
    <row r="577" spans="5:5" ht="13.2">
      <c r="E577" s="54"/>
    </row>
    <row r="578" spans="5:5" ht="13.2">
      <c r="E578" s="54"/>
    </row>
    <row r="579" spans="5:5" ht="13.2">
      <c r="E579" s="54"/>
    </row>
    <row r="580" spans="5:5" ht="13.2">
      <c r="E580" s="54"/>
    </row>
    <row r="581" spans="5:5" ht="13.2">
      <c r="E581" s="54"/>
    </row>
    <row r="582" spans="5:5" ht="13.2">
      <c r="E582" s="54"/>
    </row>
    <row r="583" spans="5:5" ht="13.2">
      <c r="E583" s="54"/>
    </row>
    <row r="584" spans="5:5" ht="13.2">
      <c r="E584" s="54"/>
    </row>
    <row r="585" spans="5:5" ht="13.2">
      <c r="E585" s="54"/>
    </row>
    <row r="586" spans="5:5" ht="13.2">
      <c r="E586" s="54"/>
    </row>
    <row r="587" spans="5:5" ht="13.2">
      <c r="E587" s="54"/>
    </row>
    <row r="588" spans="5:5" ht="13.2">
      <c r="E588" s="54"/>
    </row>
    <row r="589" spans="5:5" ht="13.2">
      <c r="E589" s="54"/>
    </row>
    <row r="590" spans="5:5" ht="13.2">
      <c r="E590" s="54"/>
    </row>
    <row r="591" spans="5:5" ht="13.2">
      <c r="E591" s="54"/>
    </row>
    <row r="592" spans="5:5" ht="13.2">
      <c r="E592" s="54"/>
    </row>
    <row r="593" spans="5:5" ht="13.2">
      <c r="E593" s="54"/>
    </row>
    <row r="594" spans="5:5" ht="13.2">
      <c r="E594" s="54"/>
    </row>
    <row r="595" spans="5:5" ht="13.2">
      <c r="E595" s="54"/>
    </row>
    <row r="596" spans="5:5" ht="13.2">
      <c r="E596" s="54"/>
    </row>
    <row r="597" spans="5:5" ht="13.2">
      <c r="E597" s="54"/>
    </row>
    <row r="598" spans="5:5" ht="13.2">
      <c r="E598" s="54"/>
    </row>
    <row r="599" spans="5:5" ht="13.2">
      <c r="E599" s="54"/>
    </row>
    <row r="600" spans="5:5" ht="13.2">
      <c r="E600" s="54"/>
    </row>
    <row r="601" spans="5:5" ht="13.2">
      <c r="E601" s="54"/>
    </row>
    <row r="602" spans="5:5" ht="13.2">
      <c r="E602" s="54"/>
    </row>
    <row r="603" spans="5:5" ht="13.2">
      <c r="E603" s="54"/>
    </row>
    <row r="604" spans="5:5" ht="13.2">
      <c r="E604" s="54"/>
    </row>
    <row r="605" spans="5:5" ht="13.2">
      <c r="E605" s="54"/>
    </row>
    <row r="606" spans="5:5" ht="13.2">
      <c r="E606" s="54"/>
    </row>
    <row r="607" spans="5:5" ht="13.2">
      <c r="E607" s="54"/>
    </row>
    <row r="608" spans="5:5" ht="13.2">
      <c r="E608" s="54"/>
    </row>
    <row r="609" spans="5:5" ht="13.2">
      <c r="E609" s="54"/>
    </row>
    <row r="610" spans="5:5" ht="13.2">
      <c r="E610" s="54"/>
    </row>
    <row r="611" spans="5:5" ht="13.2">
      <c r="E611" s="54"/>
    </row>
    <row r="612" spans="5:5" ht="13.2">
      <c r="E612" s="54"/>
    </row>
    <row r="613" spans="5:5" ht="13.2">
      <c r="E613" s="54"/>
    </row>
    <row r="614" spans="5:5" ht="13.2">
      <c r="E614" s="54"/>
    </row>
    <row r="615" spans="5:5" ht="13.2">
      <c r="E615" s="54"/>
    </row>
    <row r="616" spans="5:5" ht="13.2">
      <c r="E616" s="54"/>
    </row>
    <row r="617" spans="5:5" ht="13.2">
      <c r="E617" s="54"/>
    </row>
    <row r="618" spans="5:5" ht="13.2">
      <c r="E618" s="54"/>
    </row>
    <row r="619" spans="5:5" ht="13.2">
      <c r="E619" s="54"/>
    </row>
    <row r="620" spans="5:5" ht="13.2">
      <c r="E620" s="54"/>
    </row>
    <row r="621" spans="5:5" ht="13.2">
      <c r="E621" s="54"/>
    </row>
    <row r="622" spans="5:5" ht="13.2">
      <c r="E622" s="54"/>
    </row>
    <row r="623" spans="5:5" ht="13.2">
      <c r="E623" s="54"/>
    </row>
    <row r="624" spans="5:5" ht="13.2">
      <c r="E624" s="54"/>
    </row>
    <row r="625" spans="5:5" ht="13.2">
      <c r="E625" s="54"/>
    </row>
    <row r="626" spans="5:5" ht="13.2">
      <c r="E626" s="54"/>
    </row>
    <row r="627" spans="5:5" ht="13.2">
      <c r="E627" s="54"/>
    </row>
    <row r="628" spans="5:5" ht="13.2">
      <c r="E628" s="54"/>
    </row>
    <row r="629" spans="5:5" ht="13.2">
      <c r="E629" s="54"/>
    </row>
    <row r="630" spans="5:5" ht="13.2">
      <c r="E630" s="54"/>
    </row>
    <row r="631" spans="5:5" ht="13.2">
      <c r="E631" s="54"/>
    </row>
    <row r="632" spans="5:5" ht="13.2">
      <c r="E632" s="54"/>
    </row>
    <row r="633" spans="5:5" ht="13.2">
      <c r="E633" s="54"/>
    </row>
    <row r="634" spans="5:5" ht="13.2">
      <c r="E634" s="54"/>
    </row>
    <row r="635" spans="5:5" ht="13.2">
      <c r="E635" s="54"/>
    </row>
    <row r="636" spans="5:5" ht="13.2">
      <c r="E636" s="54"/>
    </row>
    <row r="637" spans="5:5" ht="13.2">
      <c r="E637" s="54"/>
    </row>
    <row r="638" spans="5:5" ht="13.2">
      <c r="E638" s="54"/>
    </row>
    <row r="639" spans="5:5" ht="13.2">
      <c r="E639" s="54"/>
    </row>
    <row r="640" spans="5:5" ht="13.2">
      <c r="E640" s="54"/>
    </row>
    <row r="641" spans="5:5" ht="13.2">
      <c r="E641" s="54"/>
    </row>
    <row r="642" spans="5:5" ht="13.2">
      <c r="E642" s="54"/>
    </row>
    <row r="643" spans="5:5" ht="13.2">
      <c r="E643" s="54"/>
    </row>
    <row r="644" spans="5:5" ht="13.2">
      <c r="E644" s="54"/>
    </row>
    <row r="645" spans="5:5" ht="13.2">
      <c r="E645" s="54"/>
    </row>
    <row r="646" spans="5:5" ht="13.2">
      <c r="E646" s="54"/>
    </row>
    <row r="647" spans="5:5" ht="13.2">
      <c r="E647" s="54"/>
    </row>
    <row r="648" spans="5:5" ht="13.2">
      <c r="E648" s="54"/>
    </row>
    <row r="649" spans="5:5" ht="13.2">
      <c r="E649" s="54"/>
    </row>
    <row r="650" spans="5:5" ht="13.2">
      <c r="E650" s="54"/>
    </row>
    <row r="651" spans="5:5" ht="13.2">
      <c r="E651" s="54"/>
    </row>
    <row r="652" spans="5:5" ht="13.2">
      <c r="E652" s="54"/>
    </row>
    <row r="653" spans="5:5" ht="13.2">
      <c r="E653" s="54"/>
    </row>
    <row r="654" spans="5:5" ht="13.2">
      <c r="E654" s="54"/>
    </row>
    <row r="655" spans="5:5" ht="13.2">
      <c r="E655" s="54"/>
    </row>
    <row r="656" spans="5:5" ht="13.2">
      <c r="E656" s="54"/>
    </row>
    <row r="657" spans="5:5" ht="13.2">
      <c r="E657" s="54"/>
    </row>
    <row r="658" spans="5:5" ht="13.2">
      <c r="E658" s="54"/>
    </row>
    <row r="659" spans="5:5" ht="13.2">
      <c r="E659" s="54"/>
    </row>
    <row r="660" spans="5:5" ht="13.2">
      <c r="E660" s="54"/>
    </row>
    <row r="661" spans="5:5" ht="13.2">
      <c r="E661" s="54"/>
    </row>
    <row r="662" spans="5:5" ht="13.2">
      <c r="E662" s="54"/>
    </row>
    <row r="663" spans="5:5" ht="13.2">
      <c r="E663" s="54"/>
    </row>
    <row r="664" spans="5:5" ht="13.2">
      <c r="E664" s="54"/>
    </row>
    <row r="665" spans="5:5" ht="13.2">
      <c r="E665" s="54"/>
    </row>
    <row r="666" spans="5:5" ht="13.2">
      <c r="E666" s="54"/>
    </row>
    <row r="667" spans="5:5" ht="13.2">
      <c r="E667" s="54"/>
    </row>
    <row r="668" spans="5:5" ht="13.2">
      <c r="E668" s="54"/>
    </row>
    <row r="669" spans="5:5" ht="13.2">
      <c r="E669" s="54"/>
    </row>
    <row r="670" spans="5:5" ht="13.2">
      <c r="E670" s="54"/>
    </row>
    <row r="671" spans="5:5" ht="13.2">
      <c r="E671" s="54"/>
    </row>
    <row r="672" spans="5:5" ht="13.2">
      <c r="E672" s="54"/>
    </row>
    <row r="673" spans="5:5" ht="13.2">
      <c r="E673" s="54"/>
    </row>
    <row r="674" spans="5:5" ht="13.2">
      <c r="E674" s="54"/>
    </row>
    <row r="675" spans="5:5" ht="13.2">
      <c r="E675" s="54"/>
    </row>
    <row r="676" spans="5:5" ht="13.2">
      <c r="E676" s="54"/>
    </row>
    <row r="677" spans="5:5" ht="13.2">
      <c r="E677" s="54"/>
    </row>
    <row r="678" spans="5:5" ht="13.2">
      <c r="E678" s="54"/>
    </row>
    <row r="679" spans="5:5" ht="13.2">
      <c r="E679" s="54"/>
    </row>
    <row r="680" spans="5:5" ht="13.2">
      <c r="E680" s="54"/>
    </row>
    <row r="681" spans="5:5" ht="13.2">
      <c r="E681" s="54"/>
    </row>
    <row r="682" spans="5:5" ht="13.2">
      <c r="E682" s="54"/>
    </row>
    <row r="683" spans="5:5" ht="13.2">
      <c r="E683" s="54"/>
    </row>
    <row r="684" spans="5:5" ht="13.2">
      <c r="E684" s="54"/>
    </row>
    <row r="685" spans="5:5" ht="13.2">
      <c r="E685" s="54"/>
    </row>
    <row r="686" spans="5:5" ht="13.2">
      <c r="E686" s="54"/>
    </row>
    <row r="687" spans="5:5" ht="13.2">
      <c r="E687" s="54"/>
    </row>
    <row r="688" spans="5:5" ht="13.2">
      <c r="E688" s="54"/>
    </row>
    <row r="689" spans="5:5" ht="13.2">
      <c r="E689" s="54"/>
    </row>
    <row r="690" spans="5:5" ht="13.2">
      <c r="E690" s="54"/>
    </row>
    <row r="691" spans="5:5" ht="13.2">
      <c r="E691" s="54"/>
    </row>
    <row r="692" spans="5:5" ht="13.2">
      <c r="E692" s="54"/>
    </row>
    <row r="693" spans="5:5" ht="13.2">
      <c r="E693" s="54"/>
    </row>
    <row r="694" spans="5:5" ht="13.2">
      <c r="E694" s="54"/>
    </row>
    <row r="695" spans="5:5" ht="13.2">
      <c r="E695" s="54"/>
    </row>
    <row r="696" spans="5:5" ht="13.2">
      <c r="E696" s="54"/>
    </row>
    <row r="697" spans="5:5" ht="13.2">
      <c r="E697" s="54"/>
    </row>
    <row r="698" spans="5:5" ht="13.2">
      <c r="E698" s="54"/>
    </row>
    <row r="699" spans="5:5" ht="13.2">
      <c r="E699" s="54"/>
    </row>
    <row r="700" spans="5:5" ht="13.2">
      <c r="E700" s="54"/>
    </row>
    <row r="701" spans="5:5" ht="13.2">
      <c r="E701" s="54"/>
    </row>
    <row r="702" spans="5:5" ht="13.2">
      <c r="E702" s="54"/>
    </row>
    <row r="703" spans="5:5" ht="13.2">
      <c r="E703" s="54"/>
    </row>
    <row r="704" spans="5:5" ht="13.2">
      <c r="E704" s="54"/>
    </row>
    <row r="705" spans="5:5" ht="13.2">
      <c r="E705" s="54"/>
    </row>
    <row r="706" spans="5:5" ht="13.2">
      <c r="E706" s="54"/>
    </row>
    <row r="707" spans="5:5" ht="13.2">
      <c r="E707" s="54"/>
    </row>
    <row r="708" spans="5:5" ht="13.2">
      <c r="E708" s="54"/>
    </row>
    <row r="709" spans="5:5" ht="13.2">
      <c r="E709" s="54"/>
    </row>
    <row r="710" spans="5:5" ht="13.2">
      <c r="E710" s="54"/>
    </row>
    <row r="711" spans="5:5" ht="13.2">
      <c r="E711" s="54"/>
    </row>
    <row r="712" spans="5:5" ht="13.2">
      <c r="E712" s="54"/>
    </row>
    <row r="713" spans="5:5" ht="13.2">
      <c r="E713" s="54"/>
    </row>
    <row r="714" spans="5:5" ht="13.2">
      <c r="E714" s="54"/>
    </row>
    <row r="715" spans="5:5" ht="13.2">
      <c r="E715" s="54"/>
    </row>
    <row r="716" spans="5:5" ht="13.2">
      <c r="E716" s="54"/>
    </row>
    <row r="717" spans="5:5" ht="13.2">
      <c r="E717" s="54"/>
    </row>
    <row r="718" spans="5:5" ht="13.2">
      <c r="E718" s="54"/>
    </row>
    <row r="719" spans="5:5" ht="13.2">
      <c r="E719" s="54"/>
    </row>
    <row r="720" spans="5:5" ht="13.2">
      <c r="E720" s="54"/>
    </row>
    <row r="721" spans="5:5" ht="13.2">
      <c r="E721" s="54"/>
    </row>
    <row r="722" spans="5:5" ht="13.2">
      <c r="E722" s="54"/>
    </row>
    <row r="723" spans="5:5" ht="13.2">
      <c r="E723" s="54"/>
    </row>
    <row r="724" spans="5:5" ht="13.2">
      <c r="E724" s="54"/>
    </row>
    <row r="725" spans="5:5" ht="13.2">
      <c r="E725" s="54"/>
    </row>
    <row r="726" spans="5:5" ht="13.2">
      <c r="E726" s="54"/>
    </row>
    <row r="727" spans="5:5" ht="13.2">
      <c r="E727" s="54"/>
    </row>
    <row r="728" spans="5:5" ht="13.2">
      <c r="E728" s="54"/>
    </row>
    <row r="729" spans="5:5" ht="13.2">
      <c r="E729" s="54"/>
    </row>
    <row r="730" spans="5:5" ht="13.2">
      <c r="E730" s="54"/>
    </row>
    <row r="731" spans="5:5" ht="13.2">
      <c r="E731" s="54"/>
    </row>
    <row r="732" spans="5:5" ht="13.2">
      <c r="E732" s="54"/>
    </row>
    <row r="733" spans="5:5" ht="13.2">
      <c r="E733" s="54"/>
    </row>
    <row r="734" spans="5:5" ht="13.2">
      <c r="E734" s="54"/>
    </row>
    <row r="735" spans="5:5" ht="13.2">
      <c r="E735" s="54"/>
    </row>
    <row r="736" spans="5:5" ht="13.2">
      <c r="E736" s="54"/>
    </row>
    <row r="737" spans="5:5" ht="13.2">
      <c r="E737" s="54"/>
    </row>
    <row r="738" spans="5:5" ht="13.2">
      <c r="E738" s="54"/>
    </row>
    <row r="739" spans="5:5" ht="13.2">
      <c r="E739" s="54"/>
    </row>
    <row r="740" spans="5:5" ht="13.2">
      <c r="E740" s="54"/>
    </row>
    <row r="741" spans="5:5" ht="13.2">
      <c r="E741" s="54"/>
    </row>
    <row r="742" spans="5:5" ht="13.2">
      <c r="E742" s="54"/>
    </row>
    <row r="743" spans="5:5" ht="13.2">
      <c r="E743" s="54"/>
    </row>
    <row r="744" spans="5:5" ht="13.2">
      <c r="E744" s="54"/>
    </row>
    <row r="745" spans="5:5" ht="13.2">
      <c r="E745" s="54"/>
    </row>
    <row r="746" spans="5:5" ht="13.2">
      <c r="E746" s="54"/>
    </row>
    <row r="747" spans="5:5" ht="13.2">
      <c r="E747" s="54"/>
    </row>
    <row r="748" spans="5:5" ht="13.2">
      <c r="E748" s="54"/>
    </row>
    <row r="749" spans="5:5" ht="13.2">
      <c r="E749" s="54"/>
    </row>
    <row r="750" spans="5:5" ht="13.2">
      <c r="E750" s="54"/>
    </row>
    <row r="751" spans="5:5" ht="13.2">
      <c r="E751" s="54"/>
    </row>
    <row r="752" spans="5:5" ht="13.2">
      <c r="E752" s="54"/>
    </row>
    <row r="753" spans="5:5" ht="13.2">
      <c r="E753" s="54"/>
    </row>
    <row r="754" spans="5:5" ht="13.2">
      <c r="E754" s="54"/>
    </row>
    <row r="755" spans="5:5" ht="13.2">
      <c r="E755" s="54"/>
    </row>
    <row r="756" spans="5:5" ht="13.2">
      <c r="E756" s="54"/>
    </row>
    <row r="757" spans="5:5" ht="13.2">
      <c r="E757" s="54"/>
    </row>
    <row r="758" spans="5:5" ht="13.2">
      <c r="E758" s="54"/>
    </row>
    <row r="759" spans="5:5" ht="13.2">
      <c r="E759" s="54"/>
    </row>
    <row r="760" spans="5:5" ht="13.2">
      <c r="E760" s="54"/>
    </row>
    <row r="761" spans="5:5" ht="13.2">
      <c r="E761" s="54"/>
    </row>
    <row r="762" spans="5:5" ht="13.2">
      <c r="E762" s="54"/>
    </row>
    <row r="763" spans="5:5" ht="13.2">
      <c r="E763" s="54"/>
    </row>
    <row r="764" spans="5:5" ht="13.2">
      <c r="E764" s="54"/>
    </row>
    <row r="765" spans="5:5" ht="13.2">
      <c r="E765" s="54"/>
    </row>
    <row r="766" spans="5:5" ht="13.2">
      <c r="E766" s="54"/>
    </row>
    <row r="767" spans="5:5" ht="13.2">
      <c r="E767" s="54"/>
    </row>
    <row r="768" spans="5:5" ht="13.2">
      <c r="E768" s="54"/>
    </row>
    <row r="769" spans="5:5" ht="13.2">
      <c r="E769" s="54"/>
    </row>
    <row r="770" spans="5:5" ht="13.2">
      <c r="E770" s="54"/>
    </row>
    <row r="771" spans="5:5" ht="13.2">
      <c r="E771" s="54"/>
    </row>
    <row r="772" spans="5:5" ht="13.2">
      <c r="E772" s="54"/>
    </row>
    <row r="773" spans="5:5" ht="13.2">
      <c r="E773" s="54"/>
    </row>
    <row r="774" spans="5:5" ht="13.2">
      <c r="E774" s="54"/>
    </row>
    <row r="775" spans="5:5" ht="13.2">
      <c r="E775" s="54"/>
    </row>
    <row r="776" spans="5:5" ht="13.2">
      <c r="E776" s="54"/>
    </row>
    <row r="777" spans="5:5" ht="13.2">
      <c r="E777" s="54"/>
    </row>
    <row r="778" spans="5:5" ht="13.2">
      <c r="E778" s="54"/>
    </row>
    <row r="779" spans="5:5" ht="13.2">
      <c r="E779" s="54"/>
    </row>
    <row r="780" spans="5:5" ht="13.2">
      <c r="E780" s="54"/>
    </row>
    <row r="781" spans="5:5" ht="13.2">
      <c r="E781" s="54"/>
    </row>
    <row r="782" spans="5:5" ht="13.2">
      <c r="E782" s="54"/>
    </row>
    <row r="783" spans="5:5" ht="13.2">
      <c r="E783" s="54"/>
    </row>
    <row r="784" spans="5:5" ht="13.2">
      <c r="E784" s="54"/>
    </row>
    <row r="785" spans="5:5" ht="13.2">
      <c r="E785" s="54"/>
    </row>
    <row r="786" spans="5:5" ht="13.2">
      <c r="E786" s="54"/>
    </row>
    <row r="787" spans="5:5" ht="13.2">
      <c r="E787" s="54"/>
    </row>
    <row r="788" spans="5:5" ht="13.2">
      <c r="E788" s="54"/>
    </row>
    <row r="789" spans="5:5" ht="13.2">
      <c r="E789" s="54"/>
    </row>
    <row r="790" spans="5:5" ht="13.2">
      <c r="E790" s="54"/>
    </row>
    <row r="791" spans="5:5" ht="13.2">
      <c r="E791" s="54"/>
    </row>
    <row r="792" spans="5:5" ht="13.2">
      <c r="E792" s="54"/>
    </row>
    <row r="793" spans="5:5" ht="13.2">
      <c r="E793" s="54"/>
    </row>
    <row r="794" spans="5:5" ht="13.2">
      <c r="E794" s="54"/>
    </row>
    <row r="795" spans="5:5" ht="13.2">
      <c r="E795" s="54"/>
    </row>
    <row r="796" spans="5:5" ht="13.2">
      <c r="E796" s="54"/>
    </row>
    <row r="797" spans="5:5" ht="13.2">
      <c r="E797" s="54"/>
    </row>
    <row r="798" spans="5:5" ht="13.2">
      <c r="E798" s="54"/>
    </row>
    <row r="799" spans="5:5" ht="13.2">
      <c r="E799" s="54"/>
    </row>
    <row r="800" spans="5:5" ht="13.2">
      <c r="E800" s="54"/>
    </row>
    <row r="801" spans="5:5" ht="13.2">
      <c r="E801" s="54"/>
    </row>
    <row r="802" spans="5:5" ht="13.2">
      <c r="E802" s="54"/>
    </row>
  </sheetData>
  <autoFilter ref="A2:R305" xr:uid="{00000000-0009-0000-0000-000002000000}"/>
  <mergeCells count="1">
    <mergeCell ref="A1:G1"/>
  </mergeCells>
  <hyperlinks>
    <hyperlink ref="E3" r:id="rId1" xr:uid="{00000000-0004-0000-0200-000000000000}"/>
    <hyperlink ref="E4" r:id="rId2" xr:uid="{00000000-0004-0000-0200-000001000000}"/>
    <hyperlink ref="E5" r:id="rId3" xr:uid="{00000000-0004-0000-0200-000002000000}"/>
    <hyperlink ref="E6" r:id="rId4" xr:uid="{00000000-0004-0000-0200-000003000000}"/>
    <hyperlink ref="E7" r:id="rId5" xr:uid="{00000000-0004-0000-0200-000004000000}"/>
    <hyperlink ref="E8" r:id="rId6" xr:uid="{00000000-0004-0000-0200-000005000000}"/>
    <hyperlink ref="E9" r:id="rId7" xr:uid="{00000000-0004-0000-0200-000006000000}"/>
    <hyperlink ref="E10" r:id="rId8" xr:uid="{00000000-0004-0000-0200-000007000000}"/>
    <hyperlink ref="E11" r:id="rId9" xr:uid="{00000000-0004-0000-0200-000008000000}"/>
    <hyperlink ref="E12" r:id="rId10" xr:uid="{00000000-0004-0000-0200-000009000000}"/>
    <hyperlink ref="E13" r:id="rId11" xr:uid="{00000000-0004-0000-0200-00000A000000}"/>
    <hyperlink ref="E14" r:id="rId12" xr:uid="{00000000-0004-0000-0200-00000B000000}"/>
    <hyperlink ref="E15" r:id="rId13" xr:uid="{00000000-0004-0000-0200-00000C000000}"/>
    <hyperlink ref="E16" r:id="rId14" xr:uid="{00000000-0004-0000-0200-00000D000000}"/>
    <hyperlink ref="E17" r:id="rId15" xr:uid="{00000000-0004-0000-0200-00000E000000}"/>
    <hyperlink ref="E18" r:id="rId16" xr:uid="{00000000-0004-0000-0200-00000F000000}"/>
    <hyperlink ref="E19" r:id="rId17" xr:uid="{00000000-0004-0000-0200-000010000000}"/>
    <hyperlink ref="E20" r:id="rId18" xr:uid="{00000000-0004-0000-0200-000011000000}"/>
    <hyperlink ref="E21" r:id="rId19" xr:uid="{00000000-0004-0000-0200-000012000000}"/>
    <hyperlink ref="E22" r:id="rId20" xr:uid="{00000000-0004-0000-0200-000013000000}"/>
    <hyperlink ref="E23" r:id="rId21" xr:uid="{00000000-0004-0000-0200-000014000000}"/>
    <hyperlink ref="E24" r:id="rId22" xr:uid="{00000000-0004-0000-0200-000015000000}"/>
    <hyperlink ref="E25" r:id="rId23" xr:uid="{00000000-0004-0000-0200-000016000000}"/>
    <hyperlink ref="E26" r:id="rId24" xr:uid="{00000000-0004-0000-0200-000017000000}"/>
    <hyperlink ref="E27" r:id="rId25" xr:uid="{00000000-0004-0000-0200-000018000000}"/>
    <hyperlink ref="E28" r:id="rId26" xr:uid="{00000000-0004-0000-0200-000019000000}"/>
    <hyperlink ref="E29" r:id="rId27" xr:uid="{00000000-0004-0000-0200-00001A000000}"/>
    <hyperlink ref="E30" r:id="rId28" xr:uid="{00000000-0004-0000-0200-00001B000000}"/>
    <hyperlink ref="E31" r:id="rId29" xr:uid="{00000000-0004-0000-0200-00001C000000}"/>
    <hyperlink ref="E32" r:id="rId30" xr:uid="{00000000-0004-0000-0200-00001D000000}"/>
    <hyperlink ref="E33" r:id="rId31" xr:uid="{00000000-0004-0000-0200-00001E000000}"/>
    <hyperlink ref="E34" r:id="rId32" xr:uid="{00000000-0004-0000-0200-00001F000000}"/>
    <hyperlink ref="E35" r:id="rId33" xr:uid="{00000000-0004-0000-0200-000020000000}"/>
    <hyperlink ref="E36" r:id="rId34" xr:uid="{00000000-0004-0000-0200-000021000000}"/>
    <hyperlink ref="E37" r:id="rId35" xr:uid="{00000000-0004-0000-0200-000022000000}"/>
    <hyperlink ref="E38" r:id="rId36" xr:uid="{00000000-0004-0000-0200-000023000000}"/>
    <hyperlink ref="E39" r:id="rId37" xr:uid="{00000000-0004-0000-0200-000024000000}"/>
    <hyperlink ref="E40" r:id="rId38" xr:uid="{00000000-0004-0000-0200-000025000000}"/>
    <hyperlink ref="E41" r:id="rId39" xr:uid="{00000000-0004-0000-0200-000026000000}"/>
    <hyperlink ref="E42" r:id="rId40" xr:uid="{00000000-0004-0000-0200-000027000000}"/>
    <hyperlink ref="E43" r:id="rId41" xr:uid="{00000000-0004-0000-0200-000028000000}"/>
    <hyperlink ref="E44" r:id="rId42" xr:uid="{00000000-0004-0000-0200-000029000000}"/>
    <hyperlink ref="E45" r:id="rId43" xr:uid="{00000000-0004-0000-0200-00002A000000}"/>
    <hyperlink ref="E46" r:id="rId44" xr:uid="{00000000-0004-0000-0200-00002B000000}"/>
    <hyperlink ref="E47" r:id="rId45" xr:uid="{00000000-0004-0000-0200-00002C000000}"/>
    <hyperlink ref="E48" r:id="rId46" xr:uid="{00000000-0004-0000-0200-00002D000000}"/>
    <hyperlink ref="E50" r:id="rId47" xr:uid="{00000000-0004-0000-0200-00002E000000}"/>
    <hyperlink ref="E51" r:id="rId48" xr:uid="{00000000-0004-0000-0200-00002F000000}"/>
    <hyperlink ref="E52" r:id="rId49" xr:uid="{00000000-0004-0000-0200-000030000000}"/>
    <hyperlink ref="E53" r:id="rId50" xr:uid="{00000000-0004-0000-0200-000031000000}"/>
    <hyperlink ref="E54" r:id="rId51" xr:uid="{00000000-0004-0000-0200-000032000000}"/>
    <hyperlink ref="E55" r:id="rId52" xr:uid="{00000000-0004-0000-0200-000033000000}"/>
    <hyperlink ref="E56" r:id="rId53" xr:uid="{00000000-0004-0000-0200-000034000000}"/>
    <hyperlink ref="E57" r:id="rId54" xr:uid="{00000000-0004-0000-0200-000035000000}"/>
    <hyperlink ref="E58" r:id="rId55" xr:uid="{00000000-0004-0000-0200-000036000000}"/>
    <hyperlink ref="E59" r:id="rId56" xr:uid="{00000000-0004-0000-0200-000037000000}"/>
    <hyperlink ref="E60" r:id="rId57" xr:uid="{00000000-0004-0000-0200-000038000000}"/>
    <hyperlink ref="E61" r:id="rId58" xr:uid="{00000000-0004-0000-0200-000039000000}"/>
    <hyperlink ref="E63" r:id="rId59" xr:uid="{00000000-0004-0000-0200-00003A000000}"/>
    <hyperlink ref="E64" r:id="rId60" xr:uid="{00000000-0004-0000-0200-00003B000000}"/>
    <hyperlink ref="E65" r:id="rId61" xr:uid="{00000000-0004-0000-0200-00003C000000}"/>
    <hyperlink ref="E67" r:id="rId62" xr:uid="{00000000-0004-0000-0200-00003D000000}"/>
    <hyperlink ref="E68" r:id="rId63" xr:uid="{00000000-0004-0000-0200-00003E000000}"/>
    <hyperlink ref="E69" r:id="rId64" xr:uid="{00000000-0004-0000-0200-00003F000000}"/>
    <hyperlink ref="E70" r:id="rId65" xr:uid="{00000000-0004-0000-0200-000040000000}"/>
    <hyperlink ref="E71" r:id="rId66" xr:uid="{00000000-0004-0000-0200-000041000000}"/>
    <hyperlink ref="E72" r:id="rId67" xr:uid="{00000000-0004-0000-0200-000042000000}"/>
    <hyperlink ref="E73" r:id="rId68" xr:uid="{00000000-0004-0000-0200-000043000000}"/>
    <hyperlink ref="E74" r:id="rId69" xr:uid="{00000000-0004-0000-0200-000044000000}"/>
    <hyperlink ref="E75" r:id="rId70" xr:uid="{00000000-0004-0000-0200-000045000000}"/>
    <hyperlink ref="E76" r:id="rId71" xr:uid="{00000000-0004-0000-0200-000046000000}"/>
    <hyperlink ref="E77" r:id="rId72" xr:uid="{00000000-0004-0000-0200-000047000000}"/>
    <hyperlink ref="E78" r:id="rId73" xr:uid="{00000000-0004-0000-0200-000048000000}"/>
    <hyperlink ref="E79" r:id="rId74" xr:uid="{00000000-0004-0000-0200-000049000000}"/>
    <hyperlink ref="E80" r:id="rId75" xr:uid="{00000000-0004-0000-0200-00004A000000}"/>
    <hyperlink ref="E81" r:id="rId76" xr:uid="{00000000-0004-0000-0200-00004B000000}"/>
    <hyperlink ref="E82" r:id="rId77" xr:uid="{00000000-0004-0000-0200-00004C000000}"/>
    <hyperlink ref="E83" r:id="rId78" xr:uid="{00000000-0004-0000-0200-00004D000000}"/>
    <hyperlink ref="E84" r:id="rId79" xr:uid="{00000000-0004-0000-0200-00004E000000}"/>
    <hyperlink ref="E85" r:id="rId80" xr:uid="{00000000-0004-0000-0200-00004F000000}"/>
    <hyperlink ref="E86" r:id="rId81" xr:uid="{00000000-0004-0000-0200-000050000000}"/>
    <hyperlink ref="E87" r:id="rId82" xr:uid="{00000000-0004-0000-0200-000051000000}"/>
    <hyperlink ref="E88" r:id="rId83" xr:uid="{00000000-0004-0000-0200-000052000000}"/>
    <hyperlink ref="E89" r:id="rId84" xr:uid="{00000000-0004-0000-0200-000053000000}"/>
    <hyperlink ref="E90" r:id="rId85" xr:uid="{00000000-0004-0000-0200-000054000000}"/>
    <hyperlink ref="E91" r:id="rId86" xr:uid="{00000000-0004-0000-0200-000055000000}"/>
    <hyperlink ref="E92" r:id="rId87" xr:uid="{00000000-0004-0000-0200-000056000000}"/>
    <hyperlink ref="E93" r:id="rId88" xr:uid="{00000000-0004-0000-0200-000057000000}"/>
    <hyperlink ref="E94" r:id="rId89" xr:uid="{00000000-0004-0000-0200-000058000000}"/>
    <hyperlink ref="E95" r:id="rId90" xr:uid="{00000000-0004-0000-0200-000059000000}"/>
    <hyperlink ref="E96" r:id="rId91" xr:uid="{00000000-0004-0000-0200-00005A000000}"/>
    <hyperlink ref="E97" r:id="rId92" xr:uid="{00000000-0004-0000-0200-00005B000000}"/>
    <hyperlink ref="E98" r:id="rId93" xr:uid="{00000000-0004-0000-0200-00005C000000}"/>
    <hyperlink ref="E99" r:id="rId94" xr:uid="{00000000-0004-0000-0200-00005D000000}"/>
    <hyperlink ref="E100" r:id="rId95" xr:uid="{00000000-0004-0000-0200-00005E000000}"/>
    <hyperlink ref="E101" r:id="rId96" xr:uid="{00000000-0004-0000-0200-00005F000000}"/>
    <hyperlink ref="E102" r:id="rId97" xr:uid="{00000000-0004-0000-0200-000060000000}"/>
    <hyperlink ref="E103" r:id="rId98" xr:uid="{00000000-0004-0000-0200-000061000000}"/>
    <hyperlink ref="E104" r:id="rId99" xr:uid="{00000000-0004-0000-0200-000062000000}"/>
    <hyperlink ref="E105" r:id="rId100" xr:uid="{00000000-0004-0000-0200-000063000000}"/>
    <hyperlink ref="E106" r:id="rId101" xr:uid="{00000000-0004-0000-0200-000064000000}"/>
    <hyperlink ref="E107" r:id="rId102" xr:uid="{00000000-0004-0000-0200-000065000000}"/>
    <hyperlink ref="E108" r:id="rId103" xr:uid="{00000000-0004-0000-0200-000066000000}"/>
    <hyperlink ref="E109" r:id="rId104" xr:uid="{00000000-0004-0000-0200-000067000000}"/>
    <hyperlink ref="E110" r:id="rId105" xr:uid="{00000000-0004-0000-0200-000068000000}"/>
    <hyperlink ref="E111" r:id="rId106" xr:uid="{00000000-0004-0000-0200-000069000000}"/>
    <hyperlink ref="E112" r:id="rId107" xr:uid="{00000000-0004-0000-0200-00006A000000}"/>
    <hyperlink ref="E113" r:id="rId108" xr:uid="{00000000-0004-0000-0200-00006B000000}"/>
    <hyperlink ref="E114" r:id="rId109" xr:uid="{00000000-0004-0000-0200-00006C000000}"/>
    <hyperlink ref="E115" r:id="rId110" xr:uid="{00000000-0004-0000-0200-00006D000000}"/>
    <hyperlink ref="E116" r:id="rId111" xr:uid="{00000000-0004-0000-0200-00006E000000}"/>
    <hyperlink ref="E117" r:id="rId112" xr:uid="{00000000-0004-0000-0200-00006F000000}"/>
    <hyperlink ref="E118" r:id="rId113" xr:uid="{00000000-0004-0000-0200-000070000000}"/>
    <hyperlink ref="E119" r:id="rId114" xr:uid="{00000000-0004-0000-0200-000071000000}"/>
    <hyperlink ref="E120" r:id="rId115" xr:uid="{00000000-0004-0000-0200-000072000000}"/>
    <hyperlink ref="E121" r:id="rId116" xr:uid="{00000000-0004-0000-0200-000073000000}"/>
    <hyperlink ref="E122" r:id="rId117" xr:uid="{00000000-0004-0000-0200-000074000000}"/>
    <hyperlink ref="E123" r:id="rId118" xr:uid="{00000000-0004-0000-0200-000075000000}"/>
    <hyperlink ref="E124" r:id="rId119" xr:uid="{00000000-0004-0000-0200-000076000000}"/>
    <hyperlink ref="E125" r:id="rId120" xr:uid="{00000000-0004-0000-0200-000077000000}"/>
    <hyperlink ref="E126" r:id="rId121" xr:uid="{00000000-0004-0000-0200-000078000000}"/>
    <hyperlink ref="E127" r:id="rId122" xr:uid="{00000000-0004-0000-0200-000079000000}"/>
    <hyperlink ref="E128" r:id="rId123" xr:uid="{00000000-0004-0000-0200-00007A000000}"/>
    <hyperlink ref="E130" r:id="rId124" xr:uid="{00000000-0004-0000-0200-00007B000000}"/>
    <hyperlink ref="E131" r:id="rId125" xr:uid="{00000000-0004-0000-0200-00007C000000}"/>
    <hyperlink ref="E132" r:id="rId126" xr:uid="{00000000-0004-0000-0200-00007D000000}"/>
    <hyperlink ref="E133" r:id="rId127" xr:uid="{00000000-0004-0000-0200-00007E000000}"/>
    <hyperlink ref="E134" r:id="rId128" xr:uid="{00000000-0004-0000-0200-00007F000000}"/>
    <hyperlink ref="E135" r:id="rId129" xr:uid="{00000000-0004-0000-0200-000080000000}"/>
    <hyperlink ref="E136" r:id="rId130" xr:uid="{00000000-0004-0000-0200-000081000000}"/>
    <hyperlink ref="E137" r:id="rId131" xr:uid="{00000000-0004-0000-0200-000082000000}"/>
    <hyperlink ref="E138" r:id="rId132" xr:uid="{00000000-0004-0000-0200-000083000000}"/>
    <hyperlink ref="E139" r:id="rId133" xr:uid="{00000000-0004-0000-0200-000084000000}"/>
    <hyperlink ref="E140" r:id="rId134" xr:uid="{00000000-0004-0000-0200-000085000000}"/>
    <hyperlink ref="E141" r:id="rId135" xr:uid="{00000000-0004-0000-0200-000086000000}"/>
    <hyperlink ref="E142" r:id="rId136" xr:uid="{00000000-0004-0000-0200-000087000000}"/>
    <hyperlink ref="E143" r:id="rId137" xr:uid="{00000000-0004-0000-0200-000088000000}"/>
    <hyperlink ref="E144" r:id="rId138" xr:uid="{00000000-0004-0000-0200-000089000000}"/>
    <hyperlink ref="E145" r:id="rId139" xr:uid="{00000000-0004-0000-0200-00008A000000}"/>
    <hyperlink ref="E146" r:id="rId140" xr:uid="{00000000-0004-0000-0200-00008B000000}"/>
    <hyperlink ref="E147" r:id="rId141" xr:uid="{00000000-0004-0000-0200-00008C000000}"/>
    <hyperlink ref="E148" r:id="rId142" xr:uid="{00000000-0004-0000-0200-00008D000000}"/>
    <hyperlink ref="E149" r:id="rId143" xr:uid="{00000000-0004-0000-0200-00008E000000}"/>
    <hyperlink ref="E150" r:id="rId144" xr:uid="{00000000-0004-0000-0200-00008F000000}"/>
    <hyperlink ref="E151" r:id="rId145" xr:uid="{00000000-0004-0000-0200-000090000000}"/>
    <hyperlink ref="E152" r:id="rId146" xr:uid="{00000000-0004-0000-0200-000091000000}"/>
    <hyperlink ref="E153" r:id="rId147" xr:uid="{00000000-0004-0000-0200-000092000000}"/>
    <hyperlink ref="E154" r:id="rId148" xr:uid="{00000000-0004-0000-0200-000093000000}"/>
    <hyperlink ref="E155" r:id="rId149" xr:uid="{00000000-0004-0000-0200-000094000000}"/>
    <hyperlink ref="E156" r:id="rId150" xr:uid="{00000000-0004-0000-0200-000095000000}"/>
    <hyperlink ref="E157" r:id="rId151" xr:uid="{00000000-0004-0000-0200-000096000000}"/>
    <hyperlink ref="E158" r:id="rId152" xr:uid="{00000000-0004-0000-0200-000097000000}"/>
    <hyperlink ref="E159" r:id="rId153" xr:uid="{00000000-0004-0000-0200-000098000000}"/>
    <hyperlink ref="E160" r:id="rId154" xr:uid="{00000000-0004-0000-0200-000099000000}"/>
    <hyperlink ref="E161" r:id="rId155" xr:uid="{00000000-0004-0000-0200-00009A000000}"/>
    <hyperlink ref="E162" r:id="rId156" xr:uid="{00000000-0004-0000-0200-00009B000000}"/>
    <hyperlink ref="E163" r:id="rId157" xr:uid="{00000000-0004-0000-0200-00009C000000}"/>
    <hyperlink ref="E164" r:id="rId158" xr:uid="{00000000-0004-0000-0200-00009D000000}"/>
    <hyperlink ref="E165" r:id="rId159" xr:uid="{00000000-0004-0000-0200-00009E000000}"/>
    <hyperlink ref="E166" r:id="rId160" xr:uid="{00000000-0004-0000-0200-00009F000000}"/>
    <hyperlink ref="E167" r:id="rId161" xr:uid="{00000000-0004-0000-0200-0000A0000000}"/>
    <hyperlink ref="E168" r:id="rId162" xr:uid="{00000000-0004-0000-0200-0000A1000000}"/>
    <hyperlink ref="E169" r:id="rId163" xr:uid="{00000000-0004-0000-0200-0000A2000000}"/>
    <hyperlink ref="E170" r:id="rId164" xr:uid="{00000000-0004-0000-0200-0000A3000000}"/>
    <hyperlink ref="E171" r:id="rId165" xr:uid="{00000000-0004-0000-0200-0000A4000000}"/>
    <hyperlink ref="E172" r:id="rId166" xr:uid="{00000000-0004-0000-0200-0000A5000000}"/>
    <hyperlink ref="E173" r:id="rId167" xr:uid="{00000000-0004-0000-0200-0000A6000000}"/>
    <hyperlink ref="E174" r:id="rId168" xr:uid="{00000000-0004-0000-0200-0000A7000000}"/>
    <hyperlink ref="E175" r:id="rId169" xr:uid="{00000000-0004-0000-0200-0000A8000000}"/>
    <hyperlink ref="E176" r:id="rId170" xr:uid="{00000000-0004-0000-0200-0000A9000000}"/>
    <hyperlink ref="E177" r:id="rId171" xr:uid="{00000000-0004-0000-0200-0000AA000000}"/>
    <hyperlink ref="E178" r:id="rId172" xr:uid="{00000000-0004-0000-0200-0000AB000000}"/>
    <hyperlink ref="E179" r:id="rId173" xr:uid="{00000000-0004-0000-0200-0000AC000000}"/>
    <hyperlink ref="E180" r:id="rId174" xr:uid="{00000000-0004-0000-0200-0000AD000000}"/>
    <hyperlink ref="E181" r:id="rId175" xr:uid="{00000000-0004-0000-0200-0000AE000000}"/>
    <hyperlink ref="E182" r:id="rId176" xr:uid="{00000000-0004-0000-0200-0000AF000000}"/>
    <hyperlink ref="E183" r:id="rId177" xr:uid="{00000000-0004-0000-0200-0000B0000000}"/>
    <hyperlink ref="E184" r:id="rId178" xr:uid="{00000000-0004-0000-0200-0000B1000000}"/>
    <hyperlink ref="E185" r:id="rId179" xr:uid="{00000000-0004-0000-0200-0000B2000000}"/>
    <hyperlink ref="E186" r:id="rId180" xr:uid="{00000000-0004-0000-0200-0000B3000000}"/>
    <hyperlink ref="E187" r:id="rId181" xr:uid="{00000000-0004-0000-0200-0000B4000000}"/>
    <hyperlink ref="E188" r:id="rId182" xr:uid="{00000000-0004-0000-0200-0000B5000000}"/>
    <hyperlink ref="E189" r:id="rId183" xr:uid="{00000000-0004-0000-0200-0000B6000000}"/>
    <hyperlink ref="E190" r:id="rId184" xr:uid="{00000000-0004-0000-0200-0000B7000000}"/>
    <hyperlink ref="E191" r:id="rId185" xr:uid="{00000000-0004-0000-0200-0000B8000000}"/>
    <hyperlink ref="E192" r:id="rId186" xr:uid="{00000000-0004-0000-0200-0000B9000000}"/>
    <hyperlink ref="E193" r:id="rId187" xr:uid="{00000000-0004-0000-0200-0000BA000000}"/>
    <hyperlink ref="E194" r:id="rId188" xr:uid="{00000000-0004-0000-0200-0000BB000000}"/>
    <hyperlink ref="E195" r:id="rId189" xr:uid="{00000000-0004-0000-0200-0000BC000000}"/>
    <hyperlink ref="E196" r:id="rId190" xr:uid="{00000000-0004-0000-0200-0000BD000000}"/>
    <hyperlink ref="E197" r:id="rId191" xr:uid="{00000000-0004-0000-0200-0000BE000000}"/>
    <hyperlink ref="E198" r:id="rId192" xr:uid="{00000000-0004-0000-0200-0000BF000000}"/>
    <hyperlink ref="E199" r:id="rId193" xr:uid="{00000000-0004-0000-0200-0000C0000000}"/>
    <hyperlink ref="E200" r:id="rId194" xr:uid="{00000000-0004-0000-0200-0000C1000000}"/>
    <hyperlink ref="E201" r:id="rId195" xr:uid="{00000000-0004-0000-0200-0000C2000000}"/>
    <hyperlink ref="E202" r:id="rId196" xr:uid="{00000000-0004-0000-0200-0000C3000000}"/>
    <hyperlink ref="E203" r:id="rId197" xr:uid="{00000000-0004-0000-0200-0000C4000000}"/>
    <hyperlink ref="E204" r:id="rId198" xr:uid="{00000000-0004-0000-0200-0000C5000000}"/>
    <hyperlink ref="E205" r:id="rId199" xr:uid="{00000000-0004-0000-0200-0000C6000000}"/>
    <hyperlink ref="E206" r:id="rId200" xr:uid="{00000000-0004-0000-0200-0000C7000000}"/>
    <hyperlink ref="E207" r:id="rId201" xr:uid="{00000000-0004-0000-0200-0000C8000000}"/>
    <hyperlink ref="E208" r:id="rId202" xr:uid="{00000000-0004-0000-0200-0000C9000000}"/>
    <hyperlink ref="E209" r:id="rId203" xr:uid="{00000000-0004-0000-0200-0000CA000000}"/>
    <hyperlink ref="E210" r:id="rId204" xr:uid="{00000000-0004-0000-0200-0000CB000000}"/>
    <hyperlink ref="E211" r:id="rId205" xr:uid="{00000000-0004-0000-0200-0000CC000000}"/>
    <hyperlink ref="E212" r:id="rId206" xr:uid="{00000000-0004-0000-0200-0000CD000000}"/>
    <hyperlink ref="E213" r:id="rId207" xr:uid="{00000000-0004-0000-0200-0000CE000000}"/>
    <hyperlink ref="E214" r:id="rId208" xr:uid="{00000000-0004-0000-0200-0000CF000000}"/>
    <hyperlink ref="E215" r:id="rId209" xr:uid="{00000000-0004-0000-0200-0000D0000000}"/>
    <hyperlink ref="E216" r:id="rId210" xr:uid="{00000000-0004-0000-0200-0000D1000000}"/>
    <hyperlink ref="E217" r:id="rId211" xr:uid="{00000000-0004-0000-0200-0000D2000000}"/>
    <hyperlink ref="E218" r:id="rId212" xr:uid="{00000000-0004-0000-0200-0000D3000000}"/>
    <hyperlink ref="E219" r:id="rId213" xr:uid="{00000000-0004-0000-0200-0000D4000000}"/>
    <hyperlink ref="E220" r:id="rId214" xr:uid="{00000000-0004-0000-0200-0000D5000000}"/>
    <hyperlink ref="E221" r:id="rId215" xr:uid="{00000000-0004-0000-0200-0000D6000000}"/>
    <hyperlink ref="E222" r:id="rId216" xr:uid="{00000000-0004-0000-0200-0000D7000000}"/>
    <hyperlink ref="E223" r:id="rId217" xr:uid="{00000000-0004-0000-0200-0000D8000000}"/>
    <hyperlink ref="E224" r:id="rId218" xr:uid="{00000000-0004-0000-0200-0000D9000000}"/>
    <hyperlink ref="E225" r:id="rId219" xr:uid="{00000000-0004-0000-0200-0000DA000000}"/>
    <hyperlink ref="E226" r:id="rId220" xr:uid="{00000000-0004-0000-0200-0000DB000000}"/>
    <hyperlink ref="E227" r:id="rId221" xr:uid="{00000000-0004-0000-0200-0000DC000000}"/>
    <hyperlink ref="E228" r:id="rId222" xr:uid="{00000000-0004-0000-0200-0000DD000000}"/>
    <hyperlink ref="E229" r:id="rId223" xr:uid="{00000000-0004-0000-0200-0000DE000000}"/>
    <hyperlink ref="E230" r:id="rId224" xr:uid="{00000000-0004-0000-0200-0000DF000000}"/>
    <hyperlink ref="E231" r:id="rId225" xr:uid="{00000000-0004-0000-0200-0000E0000000}"/>
    <hyperlink ref="E232" r:id="rId226" xr:uid="{00000000-0004-0000-0200-0000E1000000}"/>
    <hyperlink ref="E233" r:id="rId227" xr:uid="{00000000-0004-0000-0200-0000E2000000}"/>
    <hyperlink ref="E234" r:id="rId228" xr:uid="{00000000-0004-0000-0200-0000E3000000}"/>
    <hyperlink ref="E235" r:id="rId229" xr:uid="{00000000-0004-0000-0200-0000E4000000}"/>
    <hyperlink ref="E236" r:id="rId230" xr:uid="{00000000-0004-0000-0200-0000E5000000}"/>
    <hyperlink ref="E237" r:id="rId231" xr:uid="{00000000-0004-0000-0200-0000E6000000}"/>
    <hyperlink ref="E238" r:id="rId232" xr:uid="{00000000-0004-0000-0200-0000E7000000}"/>
    <hyperlink ref="E239" r:id="rId233" xr:uid="{00000000-0004-0000-0200-0000E8000000}"/>
    <hyperlink ref="E240" r:id="rId234" xr:uid="{00000000-0004-0000-0200-0000E9000000}"/>
    <hyperlink ref="E241" r:id="rId235" xr:uid="{00000000-0004-0000-0200-0000EA000000}"/>
    <hyperlink ref="E242" r:id="rId236" xr:uid="{00000000-0004-0000-0200-0000EB000000}"/>
    <hyperlink ref="E243" r:id="rId237" xr:uid="{00000000-0004-0000-0200-0000EC000000}"/>
    <hyperlink ref="E244" r:id="rId238" xr:uid="{00000000-0004-0000-0200-0000ED000000}"/>
    <hyperlink ref="E245" r:id="rId239" xr:uid="{00000000-0004-0000-0200-0000EE000000}"/>
    <hyperlink ref="E246" r:id="rId240" xr:uid="{00000000-0004-0000-0200-0000EF000000}"/>
    <hyperlink ref="E247" r:id="rId241" xr:uid="{00000000-0004-0000-0200-0000F0000000}"/>
    <hyperlink ref="E248" r:id="rId242" xr:uid="{00000000-0004-0000-0200-0000F1000000}"/>
    <hyperlink ref="E249" r:id="rId243" xr:uid="{00000000-0004-0000-0200-0000F2000000}"/>
    <hyperlink ref="E250" r:id="rId244" xr:uid="{00000000-0004-0000-0200-0000F3000000}"/>
    <hyperlink ref="E251" r:id="rId245" xr:uid="{00000000-0004-0000-0200-0000F4000000}"/>
    <hyperlink ref="E252" r:id="rId246" xr:uid="{00000000-0004-0000-0200-0000F5000000}"/>
    <hyperlink ref="E253" r:id="rId247" xr:uid="{00000000-0004-0000-0200-0000F6000000}"/>
    <hyperlink ref="E254" r:id="rId248" xr:uid="{00000000-0004-0000-0200-0000F7000000}"/>
    <hyperlink ref="E255" r:id="rId249" xr:uid="{00000000-0004-0000-0200-0000F8000000}"/>
    <hyperlink ref="E256" r:id="rId250" xr:uid="{00000000-0004-0000-0200-0000F9000000}"/>
    <hyperlink ref="E257" r:id="rId251" xr:uid="{00000000-0004-0000-0200-0000FA000000}"/>
    <hyperlink ref="E258" r:id="rId252" xr:uid="{00000000-0004-0000-0200-0000FB000000}"/>
    <hyperlink ref="E259" r:id="rId253" xr:uid="{00000000-0004-0000-0200-0000FC000000}"/>
    <hyperlink ref="E260" r:id="rId254" xr:uid="{00000000-0004-0000-0200-0000FD000000}"/>
    <hyperlink ref="E261" r:id="rId255" xr:uid="{00000000-0004-0000-0200-0000FE000000}"/>
    <hyperlink ref="E262" r:id="rId256" xr:uid="{00000000-0004-0000-0200-0000FF000000}"/>
    <hyperlink ref="E263" r:id="rId257" xr:uid="{00000000-0004-0000-0200-000000010000}"/>
    <hyperlink ref="E264" r:id="rId258" xr:uid="{00000000-0004-0000-0200-000001010000}"/>
    <hyperlink ref="E265" r:id="rId259" xr:uid="{00000000-0004-0000-0200-000002010000}"/>
    <hyperlink ref="E266" r:id="rId260" xr:uid="{00000000-0004-0000-0200-000003010000}"/>
    <hyperlink ref="E267" r:id="rId261" xr:uid="{00000000-0004-0000-0200-000004010000}"/>
    <hyperlink ref="E268" r:id="rId262" xr:uid="{00000000-0004-0000-0200-000005010000}"/>
    <hyperlink ref="E269" r:id="rId263" xr:uid="{00000000-0004-0000-0200-000006010000}"/>
    <hyperlink ref="E270" r:id="rId264" xr:uid="{00000000-0004-0000-0200-000007010000}"/>
    <hyperlink ref="E271" r:id="rId265" xr:uid="{00000000-0004-0000-0200-000008010000}"/>
    <hyperlink ref="E272" r:id="rId266" xr:uid="{00000000-0004-0000-0200-000009010000}"/>
    <hyperlink ref="E273" r:id="rId267" xr:uid="{00000000-0004-0000-0200-00000A010000}"/>
    <hyperlink ref="E274" r:id="rId268" xr:uid="{00000000-0004-0000-0200-00000B010000}"/>
    <hyperlink ref="E275" r:id="rId269" xr:uid="{00000000-0004-0000-0200-00000C010000}"/>
    <hyperlink ref="E276" r:id="rId270" xr:uid="{00000000-0004-0000-0200-00000D010000}"/>
    <hyperlink ref="E277" r:id="rId271" xr:uid="{00000000-0004-0000-0200-00000E010000}"/>
    <hyperlink ref="E278" r:id="rId272" xr:uid="{00000000-0004-0000-0200-00000F010000}"/>
    <hyperlink ref="E279" r:id="rId273" xr:uid="{00000000-0004-0000-0200-000010010000}"/>
    <hyperlink ref="E280" r:id="rId274" xr:uid="{00000000-0004-0000-0200-000011010000}"/>
    <hyperlink ref="E281" r:id="rId275" xr:uid="{00000000-0004-0000-0200-000012010000}"/>
    <hyperlink ref="E282" r:id="rId276" xr:uid="{00000000-0004-0000-0200-000013010000}"/>
    <hyperlink ref="E283" r:id="rId277" xr:uid="{00000000-0004-0000-0200-000014010000}"/>
    <hyperlink ref="E284" r:id="rId278" xr:uid="{00000000-0004-0000-0200-000015010000}"/>
    <hyperlink ref="E285" r:id="rId279" xr:uid="{00000000-0004-0000-0200-000016010000}"/>
    <hyperlink ref="E286" r:id="rId280" xr:uid="{00000000-0004-0000-0200-000017010000}"/>
    <hyperlink ref="E287" r:id="rId281" xr:uid="{00000000-0004-0000-0200-000018010000}"/>
    <hyperlink ref="E288" r:id="rId282" xr:uid="{00000000-0004-0000-0200-000019010000}"/>
    <hyperlink ref="E289" r:id="rId283" xr:uid="{00000000-0004-0000-0200-00001A010000}"/>
    <hyperlink ref="E290" r:id="rId284" xr:uid="{00000000-0004-0000-0200-00001B010000}"/>
    <hyperlink ref="E291" r:id="rId285" xr:uid="{00000000-0004-0000-0200-00001C010000}"/>
    <hyperlink ref="E292" r:id="rId286" xr:uid="{00000000-0004-0000-0200-00001D010000}"/>
    <hyperlink ref="E293" r:id="rId287" xr:uid="{00000000-0004-0000-0200-00001E010000}"/>
    <hyperlink ref="E294" r:id="rId288" xr:uid="{00000000-0004-0000-0200-00001F010000}"/>
    <hyperlink ref="E295" r:id="rId289" xr:uid="{00000000-0004-0000-0200-000020010000}"/>
    <hyperlink ref="E296" r:id="rId290" xr:uid="{00000000-0004-0000-0200-000021010000}"/>
    <hyperlink ref="E297" r:id="rId291" xr:uid="{00000000-0004-0000-0200-000022010000}"/>
    <hyperlink ref="E298" r:id="rId292" xr:uid="{00000000-0004-0000-0200-000023010000}"/>
    <hyperlink ref="E299" r:id="rId293" xr:uid="{00000000-0004-0000-0200-000024010000}"/>
    <hyperlink ref="E300" r:id="rId294" xr:uid="{00000000-0004-0000-0200-000025010000}"/>
    <hyperlink ref="E301" r:id="rId295" xr:uid="{00000000-0004-0000-0200-000026010000}"/>
    <hyperlink ref="E302" r:id="rId296" xr:uid="{00000000-0004-0000-0200-000027010000}"/>
    <hyperlink ref="E303" r:id="rId297" xr:uid="{00000000-0004-0000-0200-000028010000}"/>
    <hyperlink ref="E304" r:id="rId298" xr:uid="{00000000-0004-0000-0200-000029010000}"/>
    <hyperlink ref="E305" r:id="rId299" xr:uid="{00000000-0004-0000-0200-00002A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Primary Studies</vt:lpstr>
      <vt:lpstr>Forward Snowballing</vt:lpstr>
      <vt:lpstr>Backwards Snowballing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Elvin Alberts</cp:lastModifiedBy>
  <dcterms:modified xsi:type="dcterms:W3CDTF">2024-07-26T14:37:44Z</dcterms:modified>
</cp:coreProperties>
</file>